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ebt Schedule" sheetId="3" state="visible" r:id="rId5"/>
    <sheet name="Returns" sheetId="4" state="visible" r:id="rId6"/>
    <sheet name="Checks" sheetId="5" state="visible" r:id="rId7"/>
  </sheets>
  <definedNames>
    <definedName function="false" hidden="false" localSheetId="1" name="_xlnm.Print_Area" vbProcedure="false">Assumptions!$A$1:$J$57</definedName>
    <definedName function="false" hidden="false" localSheetId="4" name="_xlnm.Print_Area" vbProcedure="false">Checks!$A$1:$F$16</definedName>
    <definedName function="false" hidden="false" localSheetId="0" name="_xlnm.Print_Area" vbProcedure="false">Cover!$A$1:$G$23</definedName>
    <definedName function="false" hidden="false" localSheetId="2" name="_xlnm.Print_Area" vbProcedure="false">'Debt Schedule'!$A$1:$G$31</definedName>
    <definedName function="false" hidden="false" localSheetId="3" name="_xlnm.Print_Area" vbProcedure="false">Returns!$A$1:$G$46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<sst xmlns="http://schemas.openxmlformats.org/spreadsheetml/2006/main" count="156" uniqueCount="152">
  <si>
    <t xml:space="preserve">LBO simplifié - cas d'école sur Fnac Darty (EPA : FNAC)</t>
  </si>
  <si>
    <t xml:space="preserve">Exercice de formation - Yvann Ahoure</t>
  </si>
  <si>
    <t xml:space="preserve">Toutes les valeurs sont en millions d'euros (M€), sauf mention contraire.</t>
  </si>
  <si>
    <t xml:space="preserve">Avertissement important</t>
  </si>
  <si>
    <t xml:space="preserve">Exercice de formation à la mécanique d'un LBO (structure de financement, cash sweep, IRR/MOIC, pont de création de valeur), pas une opération réelle ni une recommandation. Cours, actions, EBIT, dette brute et trésorerie FY2025 sont les chiffres publiés de Fnac Darty ; la prime d'offre, le levier, le coût de la dette et le multiple de sortie sont des hypothèses personnelles, identifiées dans l'onglet Assumptions.</t>
  </si>
  <si>
    <t xml:space="preserve">Point clé : Fnac Darty est en position de cash net</t>
  </si>
  <si>
    <t xml:space="preserve">La dette financière brute hors IFRS16 (958 M€) est inférieure à la trésorerie réelle (1 104 M€) : la cible a 146 M€ de plus de cash que de dette brute. Cette trésorerie étant à son point haut saisonnier au 31 décembre, 8 % du CA sont conservés au bilan ; seul le solde finance une partie du prix (voir projets 2 et 4 du portfolio), ce qui réduit le besoin de dette senior externe et explique le levier modéré retenu (1,7x EBITDA d'entrée, contre un multiple usuel de 3,0x).</t>
  </si>
  <si>
    <t xml:space="preserve">Sommaire</t>
  </si>
  <si>
    <t xml:space="preserve">Assumptions</t>
  </si>
  <si>
    <t xml:space="preserve">Prix d'entrée, position de trésorerie nette, sources et emplois, hypothèses d'exploitation</t>
  </si>
  <si>
    <t xml:space="preserve">Debt Schedule</t>
  </si>
  <si>
    <t xml:space="preserve">Cash sweep sur 5 ans : EBITDA, impôt, capex, BFR, cascade amortissement obligatoire puis optionnel, ratio de couverture des intérêts</t>
  </si>
  <si>
    <t xml:space="preserve">Returns</t>
  </si>
  <si>
    <t xml:space="preserve">IRR, MOIC, pont de création de valeur (EBITDA / désendettement / frais) et sensibilité à deux dimensions (prime d'offre x multiple de sortie)</t>
  </si>
  <si>
    <t xml:space="preserve">Checks</t>
  </si>
  <si>
    <t xml:space="preserve">Contrôles de cohérence du modèle et covenants de crédit hypothétiques (levier, couverture des intérêts)</t>
  </si>
  <si>
    <t xml:space="preserve">Sources (données réelles de départ uniquement)</t>
  </si>
  <si>
    <t xml:space="preserve">- Cours, actions en circulation : stockanalysis.com / marketscreener.com (12/10/2026).</t>
  </si>
  <si>
    <t xml:space="preserve">- EBIT, dette financière brute, trésorerie FY2025 : communiqué de résultats annuels Fnac Darty (25/02/2026).</t>
  </si>
  <si>
    <t xml:space="preserve">Hypothèses</t>
  </si>
  <si>
    <t xml:space="preserve">PRIX D'ENTRÉE (données réelles + prime hypothétique)</t>
  </si>
  <si>
    <t xml:space="preserve">Cours de l'action (réel, 12/10/2026)</t>
  </si>
  <si>
    <t xml:space="preserve">Réel - stockanalysis.com / marketscreener.com</t>
  </si>
  <si>
    <t xml:space="preserve">Actions en circulation (réel, M)</t>
  </si>
  <si>
    <t xml:space="preserve">Prime d'offre (hypothèse de l'exercice)</t>
  </si>
  <si>
    <t xml:space="preserve">Hypothèse personnelle - prime de contrôle usuelle sur le marché français (15-30 %)</t>
  </si>
  <si>
    <t xml:space="preserve">Prix d'offre par action</t>
  </si>
  <si>
    <t xml:space="preserve">Prix d'acquisition des fonds propres (Equity Purchase Price)</t>
  </si>
  <si>
    <t xml:space="preserve">DONNÉES D'EXPLOITATION RÉELLES ET D&amp;A (FY2025)</t>
  </si>
  <si>
    <t xml:space="preserve">Chiffre d'affaires FY2025 (réel)</t>
  </si>
  <si>
    <t xml:space="preserve">Réel - communiqué FY2025 Fnac Darty</t>
  </si>
  <si>
    <t xml:space="preserve">Résultat opérationnel courant FY2025 (EBIT réel)</t>
  </si>
  <si>
    <t xml:space="preserve">D&amp;A (% du CA, hypothèse)</t>
  </si>
  <si>
    <t xml:space="preserve">Cohérente avec l'hypothèse de D&amp;A du projet 4 (Transaction Services DD) ; la société ne publie pas le D&amp;A hors IFRS16 séparément.</t>
  </si>
  <si>
    <t xml:space="preserve">D&amp;A d'entrée FY2025 (estimée)</t>
  </si>
  <si>
    <t xml:space="preserve">EBITDA d'entrée (= EBIT réel + D&amp;A estimée)</t>
  </si>
  <si>
    <t xml:space="preserve">DETTE EXISTANTE ET TRÉSORERIE (réelles, FY2025, hors IFRS16)</t>
  </si>
  <si>
    <t xml:space="preserve">Dette financière brute FY2025 (réelle, hors IFRS16)</t>
  </si>
  <si>
    <t xml:space="preserve">Réelle - communiqué de résultats annuels Fnac Darty (25/02/2026).</t>
  </si>
  <si>
    <t xml:space="preserve">Trésorerie et équivalents de trésorerie FY2025 (réelle)</t>
  </si>
  <si>
    <t xml:space="preserve">Réelle - communiqué FY2025 ; cohérente avec le projet 2 (modèle 3 états + DCF).</t>
  </si>
  <si>
    <t xml:space="preserve">Dette nette FY2025 (position de trésorerie nette, réelle)</t>
  </si>
  <si>
    <t xml:space="preserve">958 - 1 104 = -146 M€ : Fnac Darty est en position de cash net, pas de dette nette. Lecture cohérente avec celle retenue dans le projet 2.</t>
  </si>
  <si>
    <t xml:space="preserve">EMPLOIS (USES)</t>
  </si>
  <si>
    <t xml:space="preserve">Refinancement de la dette brute existante</t>
  </si>
  <si>
    <t xml:space="preserve">Emplois avant frais (fonds propres + refinancement de la dette brute)</t>
  </si>
  <si>
    <t xml:space="preserve">Frais de transaction (% des emplois avant frais)</t>
  </si>
  <si>
    <t xml:space="preserve">Hypothèse standard (frais de conseil, financement, juridique)</t>
  </si>
  <si>
    <t xml:space="preserve">Frais de transaction</t>
  </si>
  <si>
    <t xml:space="preserve">Total des emplois (Uses)</t>
  </si>
  <si>
    <t xml:space="preserve">SOURCES (FINANCEMENT)</t>
  </si>
  <si>
    <t xml:space="preserve">Trésorerie conservée au bilan (exploitation et saisonnalité, % du CA)</t>
  </si>
  <si>
    <t xml:space="preserve">Hypothèse personnelle : trésorerie au 31/12 gonflée par la saisonnalité (BFR négatif), en partie non mobilisable.</t>
  </si>
  <si>
    <t xml:space="preserve">Trésorerie conservée au bilan (M€)</t>
  </si>
  <si>
    <t xml:space="preserve">Trésorerie excédentaire utilisée pour financer la transaction</t>
  </si>
  <si>
    <t xml:space="preserve">Seule la trésorerie au-delà du besoin d'exploitation et saisonnier réduit le besoin de financement externe.</t>
  </si>
  <si>
    <t xml:space="preserve">Besoin de financement externe (dette + fonds propres)</t>
  </si>
  <si>
    <t xml:space="preserve">Valeur d'entreprise à l'entrée (VE = prix des fonds propres + dette nette)</t>
  </si>
  <si>
    <t xml:space="preserve">Multiple d'entrée (VE / EBITDA d'entrée, calculé)</t>
  </si>
  <si>
    <t xml:space="preserve">Levier senior (x EBITDA d'entrée, hypothèse)</t>
  </si>
  <si>
    <t xml:space="preserve">Revu à la baisse par rapport à un levier usuel de 3,0x : la cible part d'une position de cash net et une partie de sa trésorerie finance le prix, ce qui réduit le besoin de dette externe.</t>
  </si>
  <si>
    <t xml:space="preserve">Dette senior à l'entrée</t>
  </si>
  <si>
    <t xml:space="preserve">Taux d'intérêt de la dette senior</t>
  </si>
  <si>
    <t xml:space="preserve">Hypothèse personnelle, cohérente avec le marché du leveraged loan en 2026</t>
  </si>
  <si>
    <t xml:space="preserve">Apport en fonds propres du sponsor (plug)</t>
  </si>
  <si>
    <t xml:space="preserve">Apport en fonds propres (% du besoin de financement externe)</t>
  </si>
  <si>
    <t xml:space="preserve">Total des sources (contrôle = total des emplois)</t>
  </si>
  <si>
    <t xml:space="preserve">HYPOTHÈSES D'EXPLOITATION (5 ans, personnelles)</t>
  </si>
  <si>
    <t xml:space="preserve">Croissance de l'EBITDA (%/an)</t>
  </si>
  <si>
    <t xml:space="preserve">Croissance du chiffre d'affaires (%/an)</t>
  </si>
  <si>
    <t xml:space="preserve">Capex (% du chiffre d'affaires)</t>
  </si>
  <si>
    <t xml:space="preserve">Variation du BFR (% de la variation du CA, hypothèse)</t>
  </si>
  <si>
    <t xml:space="preserve">Taux d'IS</t>
  </si>
  <si>
    <t xml:space="preserve">Multiple de sortie (VE/EBITDA, = multiple d'entrée)</t>
  </si>
  <si>
    <t xml:space="preserve">Hypothèse prudente : la création de valeur vient de la croissance et du désendettement, pas d'un re-rating.</t>
  </si>
  <si>
    <t xml:space="preserve">STRUCTURE DE REMBOURSEMENT ET COVENANTS (HYPOTHÈSES)</t>
  </si>
  <si>
    <t xml:space="preserve">Amortissement obligatoire dette senior (%/an)</t>
  </si>
  <si>
    <t xml:space="preserve">Hypothèse personnelle : amortissement minimal usuel d'un prêt à terme institutionnel en LBO (Term Loan A/B), généralement compris entre 1 % et 5 % par an avant cash sweep (BIWS, LBO Model Guide, pages 9 et 44).</t>
  </si>
  <si>
    <t xml:space="preserve">Covenant de levier maximal (dette senior/EBITDA)</t>
  </si>
  <si>
    <t xml:space="preserve">Hypothèse personnelle de covenant de maintenance, dans la fourchette usuelle citée par le guide BIWS LBO Model (Senior Debt / EBITDA ne doit pas dépasser 2,0x, page 45).</t>
  </si>
  <si>
    <t xml:space="preserve">Covenant de couverture des intérêts (EBITDA/intérêts)</t>
  </si>
  <si>
    <t xml:space="preserve">Hypothèse personnelle de covenant de maintenance, dans la fourchette usuelle citée par le guide BIWS LBO Model (EBITDA / Interest Expense ne doit pas descendre sous 5,0x, page 45).</t>
  </si>
  <si>
    <t xml:space="preserve">Cash sweep - 5 ans</t>
  </si>
  <si>
    <t xml:space="preserve">Année 1</t>
  </si>
  <si>
    <t xml:space="preserve">Année 2</t>
  </si>
  <si>
    <t xml:space="preserve">Année 3</t>
  </si>
  <si>
    <t xml:space="preserve">Année 4</t>
  </si>
  <si>
    <t xml:space="preserve">Année 5</t>
  </si>
  <si>
    <t xml:space="preserve">Chiffre d'affaires</t>
  </si>
  <si>
    <t xml:space="preserve">EBITDA</t>
  </si>
  <si>
    <t xml:space="preserve">D&amp;A (% du CA, réf. Assumptions)</t>
  </si>
  <si>
    <t xml:space="preserve">EBIT (= EBITDA - D&amp;A)</t>
  </si>
  <si>
    <t xml:space="preserve">Dette senior en début de période</t>
  </si>
  <si>
    <t xml:space="preserve">Charge d'intérêt</t>
  </si>
  <si>
    <t xml:space="preserve">Résultat avant impôt (EBT = EBIT - intérêts)</t>
  </si>
  <si>
    <t xml:space="preserve">Impôt (= MAX(EBT,0) x taux d'IS)</t>
  </si>
  <si>
    <t xml:space="preserve">Capex</t>
  </si>
  <si>
    <t xml:space="preserve">Variation du BFR (impact trésorerie)</t>
  </si>
  <si>
    <t xml:space="preserve">FCF disponible (désendettement + accumulation de trésorerie)</t>
  </si>
  <si>
    <t xml:space="preserve">Remboursement de la dette senior (cash sweep)</t>
  </si>
  <si>
    <t xml:space="preserve">Dette senior en fin de période</t>
  </si>
  <si>
    <t xml:space="preserve">Trésorerie excédentaire accumulée sur la période</t>
  </si>
  <si>
    <t xml:space="preserve">Trésorerie excédentaire accumulée, cumulée fin de période</t>
  </si>
  <si>
    <t xml:space="preserve">Lecture : le FCF disponible (ligne 16) rembourse la dette senior en priorité (cash sweep à 100 %) ; une fois la dette intégralement remboursée (ligne 18 = 0), le FCF excédentaire s'accumule en trésorerie (lignes 20-21) plutôt que de disparaître du modèle.</t>
  </si>
  <si>
    <t xml:space="preserve">MÉMO : CASCADE DE REMBOURSEMENT ET RATIO DE COUVERTURE</t>
  </si>
  <si>
    <t xml:space="preserve">dont amortissement obligatoire (mémo, priorité de paiement)</t>
  </si>
  <si>
    <t xml:space="preserve">dont remboursement optionnel, cash sweep (mémo, résiduel)</t>
  </si>
  <si>
    <t xml:space="preserve">Lecture : le remboursement total (ligne 17) suit la cascade standard d'un prêt à terme en LBO, l'amortissement obligatoire est réglé en priorité, puis l'excédent de trésorerie disponible (cash sweep) est affecté en remboursement optionnel du solde restant, conformément à la hiérarchie décrite dans le guide BIWS LBO Model (Key Rule n°3 : les remboursements obligatoires sont toujours réglés avant les remboursements optionnels).</t>
  </si>
  <si>
    <t xml:space="preserve">Ratio de couverture des intérêts (EBITDA / charge d'intérêts)</t>
  </si>
  <si>
    <t xml:space="preserve">Lecture : en Année 5, la dette senior est intégralement remboursée (charge d'intérêts nulle), le ratio affiche 0 par convention de calcul (IFERROR) plutôt qu'une erreur de division ; le contrôle de couverture des intérêts (onglet Checks) ne porte donc que sur les années où la dette senior porte encore intérêt.</t>
  </si>
  <si>
    <t xml:space="preserve">Rendement du sponsor : IRR, MOIC, pont de création de valeur</t>
  </si>
  <si>
    <t xml:space="preserve">SORTIE À 5 ANS</t>
  </si>
  <si>
    <t xml:space="preserve">EBITDA de sortie (Année 5)</t>
  </si>
  <si>
    <t xml:space="preserve">Multiple de sortie</t>
  </si>
  <si>
    <t xml:space="preserve">Valeur d'entreprise de sortie</t>
  </si>
  <si>
    <t xml:space="preserve">- Dette senior restante (fin Année 5)</t>
  </si>
  <si>
    <t xml:space="preserve">+ Trésorerie conservée au bilan (réf. Assumptions)</t>
  </si>
  <si>
    <t xml:space="preserve">+ Trésorerie excédentaire accumulée (fin Année 5)</t>
  </si>
  <si>
    <t xml:space="preserve">-&gt; Valeur des fonds propres à la sortie</t>
  </si>
  <si>
    <t xml:space="preserve">RENDEMENT DU SPONSOR</t>
  </si>
  <si>
    <t xml:space="preserve">Apport en fonds propres à l'entrée</t>
  </si>
  <si>
    <t xml:space="preserve">Valeur des fonds propres à la sortie</t>
  </si>
  <si>
    <t xml:space="preserve">MOIC (multiple sur capital investi)</t>
  </si>
  <si>
    <t xml:space="preserve">Durée de détention (années)</t>
  </si>
  <si>
    <t xml:space="preserve">IRR (= MOIC^(1/n) - 1)</t>
  </si>
  <si>
    <t xml:space="preserve">PONT DE CRÉATION DE VALEUR (fonds propres)</t>
  </si>
  <si>
    <t xml:space="preserve">Entrée : trésorerie conservée au bilan (réf. Assumptions)</t>
  </si>
  <si>
    <t xml:space="preserve">Dette nette de la structure à l'entrée (dette senior - trésorerie conservée)</t>
  </si>
  <si>
    <t xml:space="preserve">Dette nette de la structure à la sortie</t>
  </si>
  <si>
    <t xml:space="preserve">Contribution croissance de l'EBITDA (à multiple d'entrée constant)</t>
  </si>
  <si>
    <t xml:space="preserve">Contribution variation de multiple</t>
  </si>
  <si>
    <t xml:space="preserve">Contribution désendettement (dette nette entrée - dette nette sortie)</t>
  </si>
  <si>
    <t xml:space="preserve">- Frais de transaction (valeur détruite à la clôture)</t>
  </si>
  <si>
    <t xml:space="preserve">Total création de valeur (contrôle)</t>
  </si>
  <si>
    <t xml:space="preserve">Création de valeur réelle (sortie - entrée, contrôle croisé)</t>
  </si>
  <si>
    <t xml:space="preserve">Lecture : l'apport en fonds propres du sponsor représente 44,9 % du total des emplois (51,3 % du besoin de financement externe, réf. Assumptions C42), un niveau cohérent avec les structures LBO actuelles. Le rendement repose sur le désendettement et l'accumulation de trésorerie, sans aucune expansion de multiple.</t>
  </si>
  <si>
    <t xml:space="preserve">SENSIBILITÉ DE L'IRR : PRIME D'OFFRE x MULTIPLE DE SORTIE</t>
  </si>
  <si>
    <t xml:space="preserve">Lecture : dans ce modèle, la dette senior (fixée en % de l'EBITDA d'entrée) et le calendrier de désendettement ne dépendent ni de la prime payée ni du multiple de sortie ; seuls l'apport en fonds propres à l'entrée et la valeur des fonds propres à la sortie varient avec ces deux paramètres, ce qui permet un calcul direct par formule pour chaque scénario (construction analogue aux tables de sensibilité du guide BIWS LBO Model, page 19 : prime d'offre x multiple de sortie).</t>
  </si>
  <si>
    <t xml:space="preserve">Prime d'offre \ multiple de sortie (VE/EBITDA)</t>
  </si>
  <si>
    <t xml:space="preserve">La cellule encadrée (prime d'offre 20 %, multiple de sortie égal au multiple d'entrée) correspond exactement au scénario central présenté ci-dessus (IRR 20,1 %, ligne 19) : elle sert de contrôle de cohérence entre la table de sensibilité et le calcul central du modèle.</t>
  </si>
  <si>
    <t xml:space="preserve">Contrôles de cohérence</t>
  </si>
  <si>
    <t xml:space="preserve">Contrôle</t>
  </si>
  <si>
    <t xml:space="preserve">Résultat</t>
  </si>
  <si>
    <t xml:space="preserve">Total des sources = total des emplois (Assumptions)</t>
  </si>
  <si>
    <t xml:space="preserve">Pont de création de valeur = création de valeur réelle (sortie - entrée)</t>
  </si>
  <si>
    <t xml:space="preserve">Dette senior ne devient jamais négative sur les 5 ans</t>
  </si>
  <si>
    <t xml:space="preserve">Apport en fonds propres du sponsor positif</t>
  </si>
  <si>
    <t xml:space="preserve">FCF disponible positif chaque année (le sweep ne force pas une valeur négative)</t>
  </si>
  <si>
    <t xml:space="preserve">MOIC et IRR cohérents (MOIC &gt; 1 si IRR &gt; 0)</t>
  </si>
  <si>
    <t xml:space="preserve">Levier senior à l'entrée respecte le covenant hypothétique (dette senior / EBITDA)</t>
  </si>
  <si>
    <t xml:space="preserve">Couverture des intérêts respecte le covenant hypothétique chaque année (EBITDA / intérêts)</t>
  </si>
  <si>
    <t xml:space="preserve">Synthèse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</si>
</sst>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&quot; €&quot;"/>
    <numFmt numFmtId="166" formatCode="#,##0.0;\(#,##0.0\);\-"/>
    <numFmt numFmtId="167" formatCode="0.0%"/>
    <numFmt numFmtId="168" formatCode="#,##0;\(#,##0\);\-"/>
    <numFmt numFmtId="169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2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7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0"/>
    <col collapsed="false" customWidth="true" hidden="false" outlineLevel="0" max="7" min="3" style="1" width="13"/>
  </cols>
  <sheetData>
    <row r="2" customFormat="false" ht="17.25" hidden="false" customHeight="true" outlineLevel="0" collapsed="false">
      <c r="B2" s="2" t="s">
        <v>0</v>
      </c>
      <c r="C2" s="2"/>
      <c r="D2" s="2"/>
      <c r="E2" s="2"/>
      <c r="F2" s="2"/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6"/>
      <c r="D6" s="6"/>
      <c r="E6" s="6"/>
      <c r="F6" s="6"/>
      <c r="G6" s="6"/>
    </row>
    <row r="7" customFormat="false" ht="39" hidden="false" customHeight="true" outlineLevel="0" collapsed="false">
      <c r="B7" s="7" t="s">
        <v>4</v>
      </c>
      <c r="C7" s="7"/>
      <c r="D7" s="7"/>
      <c r="E7" s="7"/>
      <c r="F7" s="7"/>
      <c r="G7" s="7"/>
    </row>
    <row r="10" customFormat="false" ht="15" hidden="false" customHeight="true" outlineLevel="0" collapsed="false">
      <c r="B10" s="5" t="s">
        <v>5</v>
      </c>
      <c r="C10" s="6"/>
      <c r="D10" s="6"/>
      <c r="E10" s="6"/>
      <c r="F10" s="6"/>
      <c r="G10" s="6"/>
    </row>
    <row r="11" customFormat="false" ht="39" hidden="false" customHeight="true" outlineLevel="0" collapsed="false">
      <c r="B11" s="7" t="s">
        <v>6</v>
      </c>
      <c r="C11" s="7"/>
      <c r="D11" s="7"/>
      <c r="E11" s="7"/>
      <c r="F11" s="7"/>
      <c r="G11" s="7"/>
    </row>
    <row r="15" customFormat="false" ht="15" hidden="false" customHeight="true" outlineLevel="0" collapsed="false">
      <c r="B15" s="5" t="s">
        <v>7</v>
      </c>
      <c r="C15" s="6"/>
      <c r="D15" s="6"/>
      <c r="E15" s="6"/>
      <c r="F15" s="6"/>
      <c r="G15" s="6"/>
    </row>
    <row r="16" customFormat="false" ht="15" hidden="false" customHeight="true" outlineLevel="0" collapsed="false">
      <c r="B16" s="8" t="s">
        <v>8</v>
      </c>
      <c r="C16" s="4" t="s">
        <v>9</v>
      </c>
    </row>
    <row r="17" customFormat="false" ht="15" hidden="false" customHeight="true" outlineLevel="0" collapsed="false">
      <c r="B17" s="8" t="s">
        <v>10</v>
      </c>
      <c r="C17" s="4" t="s">
        <v>11</v>
      </c>
    </row>
    <row r="18" customFormat="false" ht="15" hidden="false" customHeight="true" outlineLevel="0" collapsed="false">
      <c r="B18" s="8" t="s">
        <v>12</v>
      </c>
      <c r="C18" s="4" t="s">
        <v>13</v>
      </c>
    </row>
    <row r="19" customFormat="false" ht="15" hidden="false" customHeight="true" outlineLevel="0" collapsed="false">
      <c r="B19" s="8" t="s">
        <v>14</v>
      </c>
      <c r="C19" s="4" t="s">
        <v>15</v>
      </c>
    </row>
    <row r="21" customFormat="false" ht="15" hidden="false" customHeight="true" outlineLevel="0" collapsed="false">
      <c r="B21" s="5" t="s">
        <v>16</v>
      </c>
      <c r="C21" s="6"/>
      <c r="D21" s="6"/>
      <c r="E21" s="6"/>
      <c r="F21" s="6"/>
      <c r="G21" s="6"/>
    </row>
    <row r="22" customFormat="false" ht="15" hidden="false" customHeight="true" outlineLevel="0" collapsed="false">
      <c r="B22" s="4" t="s">
        <v>17</v>
      </c>
    </row>
    <row r="23" customFormat="false" ht="15" hidden="false" customHeight="true" outlineLevel="0" collapsed="false">
      <c r="B23" s="4" t="s">
        <v>18</v>
      </c>
    </row>
  </sheetData>
  <mergeCells count="3">
    <mergeCell ref="B2:F2"/>
    <mergeCell ref="B7:G7"/>
    <mergeCell ref="B11:G11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8"/>
    <col collapsed="false" customWidth="true" hidden="false" outlineLevel="0" max="10" min="3" style="1" width="13"/>
  </cols>
  <sheetData>
    <row r="2" customFormat="false" ht="17.25" hidden="false" customHeight="true" outlineLevel="0" collapsed="false">
      <c r="B2" s="2" t="s">
        <v>19</v>
      </c>
      <c r="C2" s="2"/>
      <c r="D2" s="2"/>
      <c r="E2" s="2"/>
      <c r="F2" s="2"/>
    </row>
    <row r="3" customFormat="false" ht="15" hidden="false" customHeight="true" outlineLevel="0" collapsed="false">
      <c r="B3" s="4" t="s">
        <v>2</v>
      </c>
    </row>
    <row r="5" customFormat="false" ht="15" hidden="false" customHeight="true" outlineLevel="0" collapsed="false">
      <c r="B5" s="5" t="s">
        <v>20</v>
      </c>
      <c r="C5" s="6"/>
      <c r="D5" s="6"/>
      <c r="E5" s="6"/>
      <c r="F5" s="6"/>
      <c r="G5" s="6"/>
    </row>
    <row r="6" customFormat="false" ht="16.5" hidden="false" customHeight="true" outlineLevel="0" collapsed="false">
      <c r="B6" s="9" t="s">
        <v>21</v>
      </c>
      <c r="C6" s="10" t="n">
        <v>34.4</v>
      </c>
      <c r="E6" s="7" t="s">
        <v>22</v>
      </c>
      <c r="F6" s="7"/>
      <c r="G6" s="7"/>
      <c r="H6" s="7"/>
      <c r="I6" s="7"/>
      <c r="J6" s="7"/>
    </row>
    <row r="7" customFormat="false" ht="15" hidden="false" customHeight="true" outlineLevel="0" collapsed="false">
      <c r="B7" s="9" t="s">
        <v>23</v>
      </c>
      <c r="C7" s="11" t="n">
        <v>29.37</v>
      </c>
    </row>
    <row r="8" customFormat="false" ht="16.5" hidden="false" customHeight="true" outlineLevel="0" collapsed="false">
      <c r="B8" s="9" t="s">
        <v>24</v>
      </c>
      <c r="C8" s="12" t="n">
        <v>0.2</v>
      </c>
      <c r="E8" s="7" t="s">
        <v>25</v>
      </c>
      <c r="F8" s="7"/>
      <c r="G8" s="7"/>
      <c r="H8" s="7"/>
      <c r="I8" s="7"/>
      <c r="J8" s="7"/>
    </row>
    <row r="9" customFormat="false" ht="15" hidden="false" customHeight="true" outlineLevel="0" collapsed="false">
      <c r="B9" s="9" t="s">
        <v>26</v>
      </c>
      <c r="C9" s="13" t="n">
        <f aca="false">C6*(1+C8)</f>
        <v>41.28</v>
      </c>
    </row>
    <row r="10" customFormat="false" ht="15" hidden="false" customHeight="true" outlineLevel="0" collapsed="false">
      <c r="B10" s="8" t="s">
        <v>27</v>
      </c>
      <c r="C10" s="14" t="n">
        <f aca="false">C9*C7</f>
        <v>1212.3936</v>
      </c>
    </row>
    <row r="12" customFormat="false" ht="15" hidden="false" customHeight="true" outlineLevel="0" collapsed="false">
      <c r="B12" s="5" t="s">
        <v>28</v>
      </c>
      <c r="C12" s="6"/>
      <c r="D12" s="6"/>
      <c r="E12" s="6"/>
      <c r="F12" s="6"/>
      <c r="G12" s="6"/>
    </row>
    <row r="13" customFormat="false" ht="16.5" hidden="false" customHeight="true" outlineLevel="0" collapsed="false">
      <c r="B13" s="9" t="s">
        <v>29</v>
      </c>
      <c r="C13" s="15" t="n">
        <v>10330</v>
      </c>
      <c r="E13" s="7" t="s">
        <v>30</v>
      </c>
      <c r="F13" s="7"/>
      <c r="G13" s="7"/>
      <c r="H13" s="7"/>
      <c r="I13" s="7"/>
      <c r="J13" s="7"/>
    </row>
    <row r="14" customFormat="false" ht="16.5" hidden="false" customHeight="true" outlineLevel="0" collapsed="false">
      <c r="B14" s="9" t="s">
        <v>31</v>
      </c>
      <c r="C14" s="15" t="n">
        <v>203</v>
      </c>
      <c r="E14" s="7" t="s">
        <v>30</v>
      </c>
      <c r="F14" s="7"/>
      <c r="G14" s="7"/>
      <c r="H14" s="7"/>
      <c r="I14" s="7"/>
      <c r="J14" s="7"/>
    </row>
    <row r="15" customFormat="false" ht="16.5" hidden="false" customHeight="true" outlineLevel="0" collapsed="false">
      <c r="B15" s="9" t="s">
        <v>32</v>
      </c>
      <c r="C15" s="12" t="n">
        <v>0.034</v>
      </c>
      <c r="E15" s="7" t="s">
        <v>33</v>
      </c>
      <c r="F15" s="7"/>
      <c r="G15" s="7"/>
      <c r="H15" s="7"/>
      <c r="I15" s="7"/>
      <c r="J15" s="7"/>
    </row>
    <row r="16" customFormat="false" ht="15" hidden="false" customHeight="true" outlineLevel="0" collapsed="false">
      <c r="B16" s="9" t="s">
        <v>34</v>
      </c>
      <c r="C16" s="16" t="n">
        <f aca="false">C13*C15</f>
        <v>351.22</v>
      </c>
    </row>
    <row r="17" customFormat="false" ht="15" hidden="false" customHeight="true" outlineLevel="0" collapsed="false">
      <c r="B17" s="8" t="s">
        <v>35</v>
      </c>
      <c r="C17" s="14" t="n">
        <f aca="false">C14+C16</f>
        <v>554.22</v>
      </c>
    </row>
    <row r="19" customFormat="false" ht="15" hidden="false" customHeight="true" outlineLevel="0" collapsed="false">
      <c r="B19" s="5" t="s">
        <v>36</v>
      </c>
      <c r="C19" s="6"/>
      <c r="D19" s="6"/>
      <c r="E19" s="6"/>
      <c r="F19" s="6"/>
      <c r="G19" s="6"/>
    </row>
    <row r="20" customFormat="false" ht="16.5" hidden="false" customHeight="true" outlineLevel="0" collapsed="false">
      <c r="B20" s="9" t="s">
        <v>37</v>
      </c>
      <c r="C20" s="15" t="n">
        <v>958</v>
      </c>
      <c r="E20" s="7" t="s">
        <v>38</v>
      </c>
      <c r="F20" s="7"/>
      <c r="G20" s="7"/>
      <c r="H20" s="7"/>
      <c r="I20" s="7"/>
      <c r="J20" s="7"/>
    </row>
    <row r="21" customFormat="false" ht="16.5" hidden="false" customHeight="true" outlineLevel="0" collapsed="false">
      <c r="B21" s="9" t="s">
        <v>39</v>
      </c>
      <c r="C21" s="15" t="n">
        <v>1104</v>
      </c>
      <c r="E21" s="7" t="s">
        <v>40</v>
      </c>
      <c r="F21" s="7"/>
      <c r="G21" s="7"/>
      <c r="H21" s="7"/>
      <c r="I21" s="7"/>
      <c r="J21" s="7"/>
    </row>
    <row r="22" customFormat="false" ht="27.75" hidden="false" customHeight="true" outlineLevel="0" collapsed="false">
      <c r="B22" s="8" t="s">
        <v>41</v>
      </c>
      <c r="C22" s="14" t="n">
        <f aca="false">C20-C21</f>
        <v>-146</v>
      </c>
      <c r="E22" s="7" t="s">
        <v>42</v>
      </c>
      <c r="F22" s="7"/>
      <c r="G22" s="7"/>
      <c r="H22" s="7"/>
      <c r="I22" s="7"/>
      <c r="J22" s="7"/>
    </row>
    <row r="24" customFormat="false" ht="15" hidden="false" customHeight="true" outlineLevel="0" collapsed="false">
      <c r="B24" s="5" t="s">
        <v>43</v>
      </c>
      <c r="C24" s="6"/>
      <c r="D24" s="6"/>
      <c r="E24" s="6"/>
      <c r="F24" s="6"/>
      <c r="G24" s="6"/>
    </row>
    <row r="25" customFormat="false" ht="15" hidden="false" customHeight="true" outlineLevel="0" collapsed="false">
      <c r="B25" s="9" t="s">
        <v>44</v>
      </c>
      <c r="C25" s="16" t="n">
        <f aca="false">C20</f>
        <v>958</v>
      </c>
    </row>
    <row r="26" customFormat="false" ht="15" hidden="false" customHeight="true" outlineLevel="0" collapsed="false">
      <c r="B26" s="9" t="s">
        <v>45</v>
      </c>
      <c r="C26" s="16" t="n">
        <f aca="false">C10+C25</f>
        <v>2170.3936</v>
      </c>
    </row>
    <row r="27" customFormat="false" ht="16.5" hidden="false" customHeight="true" outlineLevel="0" collapsed="false">
      <c r="B27" s="9" t="s">
        <v>46</v>
      </c>
      <c r="C27" s="12" t="n">
        <v>0.02</v>
      </c>
      <c r="E27" s="7" t="s">
        <v>47</v>
      </c>
      <c r="F27" s="7"/>
      <c r="G27" s="7"/>
      <c r="H27" s="7"/>
      <c r="I27" s="7"/>
      <c r="J27" s="7"/>
    </row>
    <row r="28" customFormat="false" ht="15" hidden="false" customHeight="true" outlineLevel="0" collapsed="false">
      <c r="B28" s="9" t="s">
        <v>48</v>
      </c>
      <c r="C28" s="16" t="n">
        <f aca="false">C26*C27</f>
        <v>43.407872</v>
      </c>
    </row>
    <row r="29" customFormat="false" ht="15" hidden="false" customHeight="true" outlineLevel="0" collapsed="false">
      <c r="B29" s="8" t="s">
        <v>49</v>
      </c>
      <c r="C29" s="14" t="n">
        <f aca="false">C26+C28</f>
        <v>2213.801472</v>
      </c>
    </row>
    <row r="31" customFormat="false" ht="15" hidden="false" customHeight="true" outlineLevel="0" collapsed="false">
      <c r="B31" s="5" t="s">
        <v>50</v>
      </c>
      <c r="C31" s="6"/>
      <c r="D31" s="6"/>
      <c r="E31" s="6"/>
      <c r="F31" s="6"/>
      <c r="G31" s="6"/>
    </row>
    <row r="32" customFormat="false" ht="16.5" hidden="false" customHeight="true" outlineLevel="0" collapsed="false">
      <c r="B32" s="9" t="s">
        <v>51</v>
      </c>
      <c r="C32" s="12" t="n">
        <v>0.08</v>
      </c>
      <c r="E32" s="7" t="s">
        <v>52</v>
      </c>
      <c r="F32" s="7"/>
      <c r="G32" s="7"/>
      <c r="H32" s="7"/>
      <c r="I32" s="7"/>
      <c r="J32" s="7"/>
    </row>
    <row r="33" customFormat="false" ht="15" hidden="false" customHeight="true" outlineLevel="0" collapsed="false">
      <c r="B33" s="9" t="s">
        <v>53</v>
      </c>
      <c r="C33" s="16" t="n">
        <f aca="false">C13*C32</f>
        <v>826.4</v>
      </c>
    </row>
    <row r="34" customFormat="false" ht="16.5" hidden="false" customHeight="true" outlineLevel="0" collapsed="false">
      <c r="B34" s="9" t="s">
        <v>54</v>
      </c>
      <c r="C34" s="16" t="n">
        <f aca="false">C21-C33</f>
        <v>277.6</v>
      </c>
      <c r="E34" s="7" t="s">
        <v>55</v>
      </c>
      <c r="F34" s="7"/>
      <c r="G34" s="7"/>
      <c r="H34" s="7"/>
      <c r="I34" s="7"/>
      <c r="J34" s="7"/>
    </row>
    <row r="35" customFormat="false" ht="15" hidden="false" customHeight="true" outlineLevel="0" collapsed="false">
      <c r="B35" s="8" t="s">
        <v>56</v>
      </c>
      <c r="C35" s="14" t="n">
        <f aca="false">C29-C34</f>
        <v>1936.201472</v>
      </c>
    </row>
    <row r="36" customFormat="false" ht="15" hidden="false" customHeight="true" outlineLevel="0" collapsed="false">
      <c r="B36" s="9" t="s">
        <v>57</v>
      </c>
      <c r="C36" s="16" t="n">
        <f aca="false">C10+C22</f>
        <v>1066.3936</v>
      </c>
    </row>
    <row r="37" customFormat="false" ht="15" hidden="false" customHeight="true" outlineLevel="0" collapsed="false">
      <c r="B37" s="9" t="s">
        <v>58</v>
      </c>
      <c r="C37" s="17" t="n">
        <f aca="false">C36/C17</f>
        <v>1.92413409837249</v>
      </c>
    </row>
    <row r="38" customFormat="false" ht="27.75" hidden="false" customHeight="true" outlineLevel="0" collapsed="false">
      <c r="B38" s="9" t="s">
        <v>59</v>
      </c>
      <c r="C38" s="18" t="n">
        <v>1.7</v>
      </c>
      <c r="E38" s="7" t="s">
        <v>60</v>
      </c>
      <c r="F38" s="7"/>
      <c r="G38" s="7"/>
      <c r="H38" s="7"/>
      <c r="I38" s="7"/>
      <c r="J38" s="7"/>
    </row>
    <row r="39" customFormat="false" ht="15" hidden="false" customHeight="true" outlineLevel="0" collapsed="false">
      <c r="B39" s="9" t="s">
        <v>61</v>
      </c>
      <c r="C39" s="16" t="n">
        <f aca="false">C38*C17</f>
        <v>942.174</v>
      </c>
    </row>
    <row r="40" customFormat="false" ht="16.5" hidden="false" customHeight="true" outlineLevel="0" collapsed="false">
      <c r="B40" s="9" t="s">
        <v>62</v>
      </c>
      <c r="C40" s="12" t="n">
        <v>0.065</v>
      </c>
      <c r="E40" s="7" t="s">
        <v>63</v>
      </c>
      <c r="F40" s="7"/>
      <c r="G40" s="7"/>
      <c r="H40" s="7"/>
      <c r="I40" s="7"/>
      <c r="J40" s="7"/>
    </row>
    <row r="41" customFormat="false" ht="15" hidden="false" customHeight="true" outlineLevel="0" collapsed="false">
      <c r="B41" s="8" t="s">
        <v>64</v>
      </c>
      <c r="C41" s="14" t="n">
        <f aca="false">C35-C39</f>
        <v>994.027472</v>
      </c>
    </row>
    <row r="42" customFormat="false" ht="15" hidden="false" customHeight="true" outlineLevel="0" collapsed="false">
      <c r="B42" s="9" t="s">
        <v>65</v>
      </c>
      <c r="C42" s="19" t="n">
        <f aca="false">C41/C35</f>
        <v>0.513390515591964</v>
      </c>
    </row>
    <row r="43" customFormat="false" ht="15" hidden="false" customHeight="true" outlineLevel="0" collapsed="false">
      <c r="B43" s="9" t="s">
        <v>66</v>
      </c>
      <c r="C43" s="16" t="n">
        <f aca="false">C34+C39+C41</f>
        <v>2213.801472</v>
      </c>
    </row>
    <row r="45" customFormat="false" ht="15" hidden="false" customHeight="true" outlineLevel="0" collapsed="false">
      <c r="B45" s="5" t="s">
        <v>67</v>
      </c>
      <c r="C45" s="6"/>
      <c r="D45" s="6"/>
      <c r="E45" s="6"/>
      <c r="F45" s="6"/>
      <c r="G45" s="6"/>
    </row>
    <row r="46" customFormat="false" ht="15" hidden="false" customHeight="true" outlineLevel="0" collapsed="false">
      <c r="B46" s="9" t="s">
        <v>68</v>
      </c>
      <c r="C46" s="12" t="n">
        <v>0.03</v>
      </c>
    </row>
    <row r="47" customFormat="false" ht="15" hidden="false" customHeight="true" outlineLevel="0" collapsed="false">
      <c r="B47" s="9" t="s">
        <v>69</v>
      </c>
      <c r="C47" s="12" t="n">
        <v>0.02</v>
      </c>
    </row>
    <row r="48" customFormat="false" ht="15" hidden="false" customHeight="true" outlineLevel="0" collapsed="false">
      <c r="B48" s="9" t="s">
        <v>70</v>
      </c>
      <c r="C48" s="12" t="n">
        <v>0.025</v>
      </c>
    </row>
    <row r="49" customFormat="false" ht="15" hidden="false" customHeight="true" outlineLevel="0" collapsed="false">
      <c r="B49" s="9" t="s">
        <v>71</v>
      </c>
      <c r="C49" s="12" t="n">
        <v>0.04</v>
      </c>
    </row>
    <row r="50" customFormat="false" ht="15" hidden="false" customHeight="true" outlineLevel="0" collapsed="false">
      <c r="B50" s="9" t="s">
        <v>72</v>
      </c>
      <c r="C50" s="12" t="n">
        <v>0.25</v>
      </c>
    </row>
    <row r="51" customFormat="false" ht="16.5" hidden="false" customHeight="true" outlineLevel="0" collapsed="false">
      <c r="B51" s="9" t="s">
        <v>73</v>
      </c>
      <c r="C51" s="17" t="n">
        <f aca="false">C37</f>
        <v>1.92413409837249</v>
      </c>
      <c r="E51" s="7" t="s">
        <v>74</v>
      </c>
      <c r="F51" s="7"/>
      <c r="G51" s="7"/>
      <c r="H51" s="7"/>
      <c r="I51" s="7"/>
      <c r="J51" s="7"/>
    </row>
    <row r="53" customFormat="false" ht="15" hidden="false" customHeight="true" outlineLevel="0" collapsed="false">
      <c r="B53" s="5" t="s">
        <v>75</v>
      </c>
      <c r="C53" s="6"/>
      <c r="D53" s="6"/>
      <c r="E53" s="6"/>
      <c r="F53" s="6"/>
      <c r="G53" s="6"/>
      <c r="H53" s="6"/>
      <c r="I53" s="6"/>
      <c r="J53" s="6"/>
    </row>
    <row r="54" customFormat="false" ht="39.75" hidden="false" customHeight="true" outlineLevel="0" collapsed="false">
      <c r="B54" s="9" t="s">
        <v>76</v>
      </c>
      <c r="C54" s="12" t="n">
        <v>0.01</v>
      </c>
      <c r="E54" s="7" t="s">
        <v>77</v>
      </c>
      <c r="F54" s="7"/>
      <c r="G54" s="7"/>
      <c r="H54" s="7"/>
      <c r="I54" s="7"/>
      <c r="J54" s="7"/>
    </row>
    <row r="55" customFormat="false" ht="39.75" hidden="false" customHeight="true" outlineLevel="0" collapsed="false">
      <c r="B55" s="9" t="s">
        <v>78</v>
      </c>
      <c r="C55" s="18" t="n">
        <v>2</v>
      </c>
      <c r="E55" s="7" t="s">
        <v>79</v>
      </c>
      <c r="F55" s="7"/>
      <c r="G55" s="7"/>
      <c r="H55" s="7"/>
      <c r="I55" s="7"/>
      <c r="J55" s="7"/>
    </row>
    <row r="56" customFormat="false" ht="39.75" hidden="false" customHeight="true" outlineLevel="0" collapsed="false">
      <c r="B56" s="9" t="s">
        <v>80</v>
      </c>
      <c r="C56" s="18" t="n">
        <v>5</v>
      </c>
      <c r="E56" s="7" t="s">
        <v>81</v>
      </c>
      <c r="F56" s="7"/>
      <c r="G56" s="7"/>
      <c r="H56" s="7"/>
      <c r="I56" s="7"/>
      <c r="J56" s="7"/>
    </row>
  </sheetData>
  <mergeCells count="18">
    <mergeCell ref="B2:F2"/>
    <mergeCell ref="E6:J6"/>
    <mergeCell ref="E8:J8"/>
    <mergeCell ref="E13:J13"/>
    <mergeCell ref="E14:J14"/>
    <mergeCell ref="E15:J15"/>
    <mergeCell ref="E20:J20"/>
    <mergeCell ref="E21:J21"/>
    <mergeCell ref="E22:J22"/>
    <mergeCell ref="E27:J27"/>
    <mergeCell ref="E32:J32"/>
    <mergeCell ref="E34:J34"/>
    <mergeCell ref="E38:J38"/>
    <mergeCell ref="E40:J40"/>
    <mergeCell ref="E51:J51"/>
    <mergeCell ref="E54:J54"/>
    <mergeCell ref="E55:J55"/>
    <mergeCell ref="E56:J56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8"/>
    <col collapsed="false" customWidth="true" hidden="false" outlineLevel="0" max="7" min="3" style="1" width="13"/>
  </cols>
  <sheetData>
    <row r="2" customFormat="false" ht="17.25" hidden="false" customHeight="true" outlineLevel="0" collapsed="false">
      <c r="B2" s="2" t="s">
        <v>82</v>
      </c>
      <c r="C2" s="2"/>
      <c r="D2" s="2"/>
      <c r="E2" s="2"/>
      <c r="F2" s="2"/>
    </row>
    <row r="3" customFormat="false" ht="15" hidden="false" customHeight="true" outlineLevel="0" collapsed="false">
      <c r="B3" s="4" t="s">
        <v>2</v>
      </c>
    </row>
    <row r="5" customFormat="false" ht="15" hidden="false" customHeight="true" outlineLevel="0" collapsed="false">
      <c r="C5" s="20" t="s">
        <v>83</v>
      </c>
      <c r="D5" s="20" t="s">
        <v>84</v>
      </c>
      <c r="E5" s="20" t="s">
        <v>85</v>
      </c>
      <c r="F5" s="20" t="s">
        <v>86</v>
      </c>
      <c r="G5" s="20" t="s">
        <v>87</v>
      </c>
    </row>
    <row r="6" customFormat="false" ht="15" hidden="false" customHeight="true" outlineLevel="0" collapsed="false">
      <c r="B6" s="9" t="s">
        <v>88</v>
      </c>
      <c r="C6" s="16" t="n">
        <f aca="false">Assumptions!$C$13*(1+Assumptions!$C$47)</f>
        <v>10536.6</v>
      </c>
      <c r="D6" s="16" t="n">
        <f aca="false">C6*(1+Assumptions!$C$47)</f>
        <v>10747.332</v>
      </c>
      <c r="E6" s="16" t="n">
        <f aca="false">D6*(1+Assumptions!$C$47)</f>
        <v>10962.27864</v>
      </c>
      <c r="F6" s="16" t="n">
        <f aca="false">E6*(1+Assumptions!$C$47)</f>
        <v>11181.5242128</v>
      </c>
      <c r="G6" s="16" t="n">
        <f aca="false">F6*(1+Assumptions!$C$47)</f>
        <v>11405.154697056</v>
      </c>
    </row>
    <row r="7" customFormat="false" ht="15" hidden="false" customHeight="true" outlineLevel="0" collapsed="false">
      <c r="B7" s="9" t="s">
        <v>89</v>
      </c>
      <c r="C7" s="16" t="n">
        <f aca="false">Assumptions!$C$17*(1+Assumptions!$C$46)</f>
        <v>570.8466</v>
      </c>
      <c r="D7" s="16" t="n">
        <f aca="false">C7*(1+Assumptions!$C$46)</f>
        <v>587.971998</v>
      </c>
      <c r="E7" s="16" t="n">
        <f aca="false">D7*(1+Assumptions!$C$46)</f>
        <v>605.61115794</v>
      </c>
      <c r="F7" s="16" t="n">
        <f aca="false">E7*(1+Assumptions!$C$46)</f>
        <v>623.7794926782</v>
      </c>
      <c r="G7" s="16" t="n">
        <f aca="false">F7*(1+Assumptions!$C$46)</f>
        <v>642.492877458546</v>
      </c>
    </row>
    <row r="8" customFormat="false" ht="15" hidden="false" customHeight="true" outlineLevel="0" collapsed="false">
      <c r="B8" s="9" t="s">
        <v>90</v>
      </c>
      <c r="C8" s="16" t="n">
        <f aca="false">C6*Assumptions!$C$15</f>
        <v>358.2444</v>
      </c>
      <c r="D8" s="16" t="n">
        <f aca="false">D6*Assumptions!$C$15</f>
        <v>365.409288</v>
      </c>
      <c r="E8" s="16" t="n">
        <f aca="false">E6*Assumptions!$C$15</f>
        <v>372.71747376</v>
      </c>
      <c r="F8" s="16" t="n">
        <f aca="false">F6*Assumptions!$C$15</f>
        <v>380.1718232352</v>
      </c>
      <c r="G8" s="16" t="n">
        <f aca="false">G6*Assumptions!$C$15</f>
        <v>387.775259699904</v>
      </c>
    </row>
    <row r="9" customFormat="false" ht="15" hidden="false" customHeight="true" outlineLevel="0" collapsed="false">
      <c r="B9" s="9" t="s">
        <v>91</v>
      </c>
      <c r="C9" s="16" t="n">
        <f aca="false">C7-C8</f>
        <v>212.6022</v>
      </c>
      <c r="D9" s="16" t="n">
        <f aca="false">D7-D8</f>
        <v>222.56271</v>
      </c>
      <c r="E9" s="16" t="n">
        <f aca="false">E7-E8</f>
        <v>232.89368418</v>
      </c>
      <c r="F9" s="16" t="n">
        <f aca="false">F7-F8</f>
        <v>243.607669443</v>
      </c>
      <c r="G9" s="16" t="n">
        <f aca="false">G7-G8</f>
        <v>254.717617758642</v>
      </c>
    </row>
    <row r="10" customFormat="false" ht="15" hidden="false" customHeight="true" outlineLevel="0" collapsed="false">
      <c r="B10" s="9" t="s">
        <v>92</v>
      </c>
      <c r="C10" s="16" t="n">
        <f aca="false">Assumptions!$C$39</f>
        <v>942.174</v>
      </c>
      <c r="D10" s="16" t="n">
        <f aca="false">C18</f>
        <v>680.8466225</v>
      </c>
      <c r="E10" s="16" t="n">
        <f aca="false">D18</f>
        <v>414.564124384375</v>
      </c>
      <c r="F10" s="16" t="n">
        <f aca="false">E18</f>
        <v>143.094552068129</v>
      </c>
      <c r="G10" s="16" t="n">
        <f aca="false">F18</f>
        <v>0</v>
      </c>
    </row>
    <row r="11" customFormat="false" ht="15" hidden="false" customHeight="true" outlineLevel="0" collapsed="false">
      <c r="B11" s="9" t="s">
        <v>93</v>
      </c>
      <c r="C11" s="16" t="n">
        <f aca="false">C10*Assumptions!$C$40</f>
        <v>61.24131</v>
      </c>
      <c r="D11" s="16" t="n">
        <f aca="false">D10*Assumptions!$C$40</f>
        <v>44.2550304625</v>
      </c>
      <c r="E11" s="16" t="n">
        <f aca="false">E10*Assumptions!$C$40</f>
        <v>26.9466680849844</v>
      </c>
      <c r="F11" s="16" t="n">
        <f aca="false">F10*Assumptions!$C$40</f>
        <v>9.30114588442837</v>
      </c>
      <c r="G11" s="16" t="n">
        <f aca="false">G10*Assumptions!$C$40</f>
        <v>0</v>
      </c>
    </row>
    <row r="12" customFormat="false" ht="15" hidden="false" customHeight="true" outlineLevel="0" collapsed="false">
      <c r="B12" s="9" t="s">
        <v>94</v>
      </c>
      <c r="C12" s="16" t="n">
        <f aca="false">C9-C11</f>
        <v>151.36089</v>
      </c>
      <c r="D12" s="16" t="n">
        <f aca="false">D9-D11</f>
        <v>178.3076795375</v>
      </c>
      <c r="E12" s="16" t="n">
        <f aca="false">E9-E11</f>
        <v>205.947016095016</v>
      </c>
      <c r="F12" s="16" t="n">
        <f aca="false">F9-F11</f>
        <v>234.306523558572</v>
      </c>
      <c r="G12" s="16" t="n">
        <f aca="false">G9-G11</f>
        <v>254.717617758642</v>
      </c>
    </row>
    <row r="13" customFormat="false" ht="15" hidden="false" customHeight="true" outlineLevel="0" collapsed="false">
      <c r="B13" s="9" t="s">
        <v>95</v>
      </c>
      <c r="C13" s="16" t="n">
        <f aca="false">MAX(C12,0)*Assumptions!$C$50</f>
        <v>37.8402225</v>
      </c>
      <c r="D13" s="16" t="n">
        <f aca="false">MAX(D12,0)*Assumptions!$C$50</f>
        <v>44.576919884375</v>
      </c>
      <c r="E13" s="16" t="n">
        <f aca="false">MAX(E12,0)*Assumptions!$C$50</f>
        <v>51.4867540237539</v>
      </c>
      <c r="F13" s="16" t="n">
        <f aca="false">MAX(F12,0)*Assumptions!$C$50</f>
        <v>58.5766308896429</v>
      </c>
      <c r="G13" s="16" t="n">
        <f aca="false">MAX(G12,0)*Assumptions!$C$50</f>
        <v>63.6794044396605</v>
      </c>
    </row>
    <row r="14" customFormat="false" ht="15" hidden="false" customHeight="true" outlineLevel="0" collapsed="false">
      <c r="B14" s="9" t="s">
        <v>96</v>
      </c>
      <c r="C14" s="16" t="n">
        <f aca="false">C6*Assumptions!$C$48</f>
        <v>263.415</v>
      </c>
      <c r="D14" s="16" t="n">
        <f aca="false">D6*Assumptions!$C$48</f>
        <v>268.6833</v>
      </c>
      <c r="E14" s="16" t="n">
        <f aca="false">E6*Assumptions!$C$48</f>
        <v>274.056966</v>
      </c>
      <c r="F14" s="16" t="n">
        <f aca="false">F6*Assumptions!$C$48</f>
        <v>279.53810532</v>
      </c>
      <c r="G14" s="16" t="n">
        <f aca="false">G6*Assumptions!$C$48</f>
        <v>285.1288674264</v>
      </c>
    </row>
    <row r="15" customFormat="false" ht="15" hidden="false" customHeight="true" outlineLevel="0" collapsed="false">
      <c r="B15" s="9" t="s">
        <v>97</v>
      </c>
      <c r="C15" s="16" t="n">
        <f aca="false">-(C6-Assumptions!$C$13)*Assumptions!$C$49</f>
        <v>-8.26400000000002</v>
      </c>
      <c r="D15" s="16" t="n">
        <f aca="false">-(D6-C6)*Assumptions!$C$49</f>
        <v>-8.42928</v>
      </c>
      <c r="E15" s="16" t="n">
        <f aca="false">-(E6-D6)*Assumptions!$C$49</f>
        <v>-8.5978656</v>
      </c>
      <c r="F15" s="16" t="n">
        <f aca="false">-(F6-E6)*Assumptions!$C$49</f>
        <v>-8.76982291200002</v>
      </c>
      <c r="G15" s="16" t="n">
        <f aca="false">-(G6-F6)*Assumptions!$C$49</f>
        <v>-8.94521937024001</v>
      </c>
    </row>
    <row r="16" customFormat="false" ht="15" hidden="false" customHeight="true" outlineLevel="0" collapsed="false">
      <c r="B16" s="8" t="s">
        <v>98</v>
      </c>
      <c r="C16" s="14" t="n">
        <f aca="false">C7-C13-C14+C15</f>
        <v>261.3273775</v>
      </c>
      <c r="D16" s="14" t="n">
        <f aca="false">D7-D13-D14+D15</f>
        <v>266.282498115625</v>
      </c>
      <c r="E16" s="14" t="n">
        <f aca="false">E7-E13-E14+E15</f>
        <v>271.469572316246</v>
      </c>
      <c r="F16" s="14" t="n">
        <f aca="false">F7-F13-F14+F15</f>
        <v>276.894933556557</v>
      </c>
      <c r="G16" s="14" t="n">
        <f aca="false">G7-G13-G14+G15</f>
        <v>284.739386222246</v>
      </c>
    </row>
    <row r="17" customFormat="false" ht="15" hidden="false" customHeight="true" outlineLevel="0" collapsed="false">
      <c r="B17" s="9" t="s">
        <v>99</v>
      </c>
      <c r="C17" s="16" t="n">
        <f aca="false">MIN(MAX(C16,0),C10)</f>
        <v>261.3273775</v>
      </c>
      <c r="D17" s="16" t="n">
        <f aca="false">MIN(MAX(D16,0),D10)</f>
        <v>266.282498115625</v>
      </c>
      <c r="E17" s="16" t="n">
        <f aca="false">MIN(MAX(E16,0),E10)</f>
        <v>271.469572316246</v>
      </c>
      <c r="F17" s="16" t="n">
        <f aca="false">MIN(MAX(F16,0),F10)</f>
        <v>143.094552068129</v>
      </c>
      <c r="G17" s="16" t="n">
        <f aca="false">MIN(MAX(G16,0),G10)</f>
        <v>0</v>
      </c>
    </row>
    <row r="18" customFormat="false" ht="15" hidden="false" customHeight="true" outlineLevel="0" collapsed="false">
      <c r="B18" s="9" t="s">
        <v>100</v>
      </c>
      <c r="C18" s="16" t="n">
        <f aca="false">C10-C17</f>
        <v>680.8466225</v>
      </c>
      <c r="D18" s="16" t="n">
        <f aca="false">D10-D17</f>
        <v>414.564124384375</v>
      </c>
      <c r="E18" s="16" t="n">
        <f aca="false">E10-E17</f>
        <v>143.094552068129</v>
      </c>
      <c r="F18" s="16" t="n">
        <f aca="false">F10-F17</f>
        <v>0</v>
      </c>
      <c r="G18" s="16" t="n">
        <f aca="false">G10-G17</f>
        <v>0</v>
      </c>
    </row>
    <row r="20" customFormat="false" ht="15" hidden="false" customHeight="true" outlineLevel="0" collapsed="false">
      <c r="B20" s="9" t="s">
        <v>101</v>
      </c>
      <c r="C20" s="16" t="n">
        <f aca="false">C16-C17</f>
        <v>0</v>
      </c>
      <c r="D20" s="16" t="n">
        <f aca="false">D16-D17</f>
        <v>0</v>
      </c>
      <c r="E20" s="16" t="n">
        <f aca="false">E16-E17</f>
        <v>0</v>
      </c>
      <c r="F20" s="16" t="n">
        <f aca="false">F16-F17</f>
        <v>133.800381488428</v>
      </c>
      <c r="G20" s="16" t="n">
        <f aca="false">G16-G17</f>
        <v>284.739386222246</v>
      </c>
    </row>
    <row r="21" customFormat="false" ht="15" hidden="false" customHeight="true" outlineLevel="0" collapsed="false">
      <c r="B21" s="8" t="s">
        <v>102</v>
      </c>
      <c r="C21" s="14" t="n">
        <f aca="false">C20</f>
        <v>0</v>
      </c>
      <c r="D21" s="14" t="n">
        <f aca="false">C21+D20</f>
        <v>0</v>
      </c>
      <c r="E21" s="14" t="n">
        <f aca="false">D21+E20</f>
        <v>0</v>
      </c>
      <c r="F21" s="14" t="n">
        <f aca="false">E21+F20</f>
        <v>133.800381488428</v>
      </c>
      <c r="G21" s="14" t="n">
        <f aca="false">F21+G20</f>
        <v>418.539767710674</v>
      </c>
    </row>
    <row r="23" customFormat="false" ht="27.75" hidden="false" customHeight="true" outlineLevel="0" collapsed="false">
      <c r="B23" s="7" t="s">
        <v>103</v>
      </c>
      <c r="C23" s="7"/>
      <c r="D23" s="7"/>
      <c r="E23" s="7"/>
      <c r="F23" s="7"/>
      <c r="G23" s="7"/>
    </row>
    <row r="25" customFormat="false" ht="17.25" hidden="false" customHeight="true" outlineLevel="0" collapsed="false">
      <c r="B25" s="2" t="s">
        <v>104</v>
      </c>
      <c r="C25" s="2"/>
      <c r="D25" s="2"/>
      <c r="E25" s="2"/>
      <c r="F25" s="2"/>
      <c r="G25" s="2"/>
    </row>
    <row r="26" customFormat="false" ht="15" hidden="false" customHeight="true" outlineLevel="0" collapsed="false">
      <c r="B26" s="9" t="s">
        <v>105</v>
      </c>
      <c r="C26" s="16" t="n">
        <f aca="false">MIN(Assumptions!$C$54*Assumptions!$C$39,C17)</f>
        <v>9.42174</v>
      </c>
      <c r="D26" s="16" t="n">
        <f aca="false">MIN(Assumptions!$C$54*Assumptions!$C$39,D17)</f>
        <v>9.42174</v>
      </c>
      <c r="E26" s="16" t="n">
        <f aca="false">MIN(Assumptions!$C$54*Assumptions!$C$39,E17)</f>
        <v>9.42174</v>
      </c>
      <c r="F26" s="16" t="n">
        <f aca="false">MIN(Assumptions!$C$54*Assumptions!$C$39,F17)</f>
        <v>9.42174</v>
      </c>
      <c r="G26" s="16" t="n">
        <f aca="false">MIN(Assumptions!$C$54*Assumptions!$C$39,G17)</f>
        <v>0</v>
      </c>
    </row>
    <row r="27" customFormat="false" ht="15" hidden="false" customHeight="true" outlineLevel="0" collapsed="false">
      <c r="B27" s="9" t="s">
        <v>106</v>
      </c>
      <c r="C27" s="16" t="n">
        <f aca="false">C17-C26</f>
        <v>251.9056375</v>
      </c>
      <c r="D27" s="16" t="n">
        <f aca="false">D17-D26</f>
        <v>256.860758115625</v>
      </c>
      <c r="E27" s="16" t="n">
        <f aca="false">E17-E26</f>
        <v>262.047832316246</v>
      </c>
      <c r="F27" s="16" t="n">
        <f aca="false">F17-F26</f>
        <v>133.672812068129</v>
      </c>
      <c r="G27" s="16" t="n">
        <f aca="false">G17-G26</f>
        <v>0</v>
      </c>
    </row>
    <row r="28" customFormat="false" ht="39.75" hidden="false" customHeight="true" outlineLevel="0" collapsed="false">
      <c r="B28" s="7" t="s">
        <v>107</v>
      </c>
      <c r="C28" s="7"/>
      <c r="D28" s="7"/>
      <c r="E28" s="7"/>
      <c r="F28" s="7"/>
      <c r="G28" s="7"/>
    </row>
    <row r="29" customFormat="false" ht="15" hidden="false" customHeight="true" outlineLevel="0" collapsed="false">
      <c r="B29" s="8" t="s">
        <v>108</v>
      </c>
      <c r="C29" s="14" t="n">
        <f aca="false">IFERROR(C7/C11,0)</f>
        <v>9.32126696832579</v>
      </c>
      <c r="D29" s="14" t="n">
        <f aca="false">IFERROR(D7/D11,0)</f>
        <v>13.2859923912655</v>
      </c>
      <c r="E29" s="14" t="n">
        <f aca="false">IFERROR(E7/E11,0)</f>
        <v>22.4744356530471</v>
      </c>
      <c r="F29" s="14" t="n">
        <f aca="false">IFERROR(F7/F11,0)</f>
        <v>67.0648004481371</v>
      </c>
      <c r="G29" s="14" t="n">
        <f aca="false">IFERROR(G7/G11,0)</f>
        <v>0</v>
      </c>
    </row>
    <row r="30" customFormat="false" ht="39.75" hidden="false" customHeight="true" outlineLevel="0" collapsed="false">
      <c r="B30" s="7" t="s">
        <v>109</v>
      </c>
      <c r="C30" s="7"/>
      <c r="D30" s="7"/>
      <c r="E30" s="7"/>
      <c r="F30" s="7"/>
      <c r="G30" s="7"/>
    </row>
  </sheetData>
  <mergeCells count="5">
    <mergeCell ref="B2:F2"/>
    <mergeCell ref="B23:G23"/>
    <mergeCell ref="B25:G25"/>
    <mergeCell ref="B28:G28"/>
    <mergeCell ref="B30:G30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8"/>
    <col collapsed="false" customWidth="true" hidden="false" outlineLevel="0" max="3" min="3" style="1" width="15"/>
    <col collapsed="false" customWidth="true" hidden="false" outlineLevel="0" max="7" min="4" style="1" width="13"/>
  </cols>
  <sheetData>
    <row r="2" customFormat="false" ht="17.25" hidden="false" customHeight="true" outlineLevel="0" collapsed="false">
      <c r="B2" s="2" t="s">
        <v>110</v>
      </c>
      <c r="C2" s="2"/>
      <c r="D2" s="2"/>
      <c r="E2" s="2"/>
      <c r="F2" s="2"/>
    </row>
    <row r="3" customFormat="false" ht="15" hidden="false" customHeight="true" outlineLevel="0" collapsed="false">
      <c r="B3" s="4" t="s">
        <v>2</v>
      </c>
    </row>
    <row r="5" customFormat="false" ht="15" hidden="false" customHeight="true" outlineLevel="0" collapsed="false">
      <c r="B5" s="5" t="s">
        <v>111</v>
      </c>
      <c r="C5" s="6"/>
      <c r="D5" s="6"/>
      <c r="E5" s="6"/>
      <c r="F5" s="6"/>
      <c r="G5" s="6"/>
    </row>
    <row r="6" customFormat="false" ht="15" hidden="false" customHeight="true" outlineLevel="0" collapsed="false">
      <c r="B6" s="9" t="s">
        <v>112</v>
      </c>
      <c r="C6" s="21" t="n">
        <f aca="false">'Debt Schedule'!G7</f>
        <v>642.492877458546</v>
      </c>
    </row>
    <row r="7" customFormat="false" ht="15" hidden="false" customHeight="true" outlineLevel="0" collapsed="false">
      <c r="B7" s="9" t="s">
        <v>113</v>
      </c>
      <c r="C7" s="22" t="n">
        <f aca="false">Assumptions!C51</f>
        <v>1.92413409837249</v>
      </c>
    </row>
    <row r="8" customFormat="false" ht="15" hidden="false" customHeight="true" outlineLevel="0" collapsed="false">
      <c r="B8" s="9" t="s">
        <v>114</v>
      </c>
      <c r="C8" s="16" t="n">
        <f aca="false">C6*C7</f>
        <v>1236.24245347944</v>
      </c>
    </row>
    <row r="9" customFormat="false" ht="15" hidden="false" customHeight="true" outlineLevel="0" collapsed="false">
      <c r="B9" s="9" t="s">
        <v>115</v>
      </c>
      <c r="C9" s="21" t="n">
        <f aca="false">'Debt Schedule'!G18</f>
        <v>0</v>
      </c>
    </row>
    <row r="10" customFormat="false" ht="15" hidden="false" customHeight="true" outlineLevel="0" collapsed="false">
      <c r="B10" s="9" t="s">
        <v>116</v>
      </c>
      <c r="C10" s="21" t="n">
        <f aca="false">Assumptions!C33</f>
        <v>826.4</v>
      </c>
    </row>
    <row r="11" customFormat="false" ht="15" hidden="false" customHeight="true" outlineLevel="0" collapsed="false">
      <c r="B11" s="9" t="s">
        <v>117</v>
      </c>
      <c r="C11" s="21" t="n">
        <f aca="false">'Debt Schedule'!G21</f>
        <v>418.539767710674</v>
      </c>
    </row>
    <row r="12" customFormat="false" ht="15" hidden="false" customHeight="true" outlineLevel="0" collapsed="false">
      <c r="B12" s="8" t="s">
        <v>118</v>
      </c>
      <c r="C12" s="14" t="n">
        <f aca="false">C8-C9+C10+C11</f>
        <v>2481.18222119012</v>
      </c>
    </row>
    <row r="14" customFormat="false" ht="15" hidden="false" customHeight="true" outlineLevel="0" collapsed="false">
      <c r="B14" s="5" t="s">
        <v>119</v>
      </c>
      <c r="C14" s="6"/>
      <c r="D14" s="6"/>
      <c r="E14" s="6"/>
      <c r="F14" s="6"/>
      <c r="G14" s="6"/>
    </row>
    <row r="15" customFormat="false" ht="15" hidden="false" customHeight="true" outlineLevel="0" collapsed="false">
      <c r="B15" s="9" t="s">
        <v>120</v>
      </c>
      <c r="C15" s="21" t="n">
        <f aca="false">Assumptions!C41</f>
        <v>994.027472</v>
      </c>
    </row>
    <row r="16" customFormat="false" ht="15" hidden="false" customHeight="true" outlineLevel="0" collapsed="false">
      <c r="B16" s="9" t="s">
        <v>121</v>
      </c>
      <c r="C16" s="16" t="n">
        <f aca="false">C12</f>
        <v>2481.18222119012</v>
      </c>
    </row>
    <row r="17" customFormat="false" ht="15" hidden="false" customHeight="true" outlineLevel="0" collapsed="false">
      <c r="B17" s="8" t="s">
        <v>122</v>
      </c>
      <c r="C17" s="23" t="n">
        <f aca="false">C16/C15</f>
        <v>2.49609018973886</v>
      </c>
    </row>
    <row r="18" customFormat="false" ht="15" hidden="false" customHeight="true" outlineLevel="0" collapsed="false">
      <c r="B18" s="9" t="s">
        <v>123</v>
      </c>
      <c r="C18" s="11" t="n">
        <v>5</v>
      </c>
    </row>
    <row r="19" customFormat="false" ht="15" hidden="false" customHeight="true" outlineLevel="0" collapsed="false">
      <c r="B19" s="8" t="s">
        <v>124</v>
      </c>
      <c r="C19" s="24" t="n">
        <f aca="false">C17^(1/C18)-1</f>
        <v>0.200748505247262</v>
      </c>
    </row>
    <row r="21" customFormat="false" ht="15" hidden="false" customHeight="true" outlineLevel="0" collapsed="false">
      <c r="B21" s="5" t="s">
        <v>125</v>
      </c>
      <c r="C21" s="6"/>
      <c r="D21" s="6"/>
      <c r="E21" s="6"/>
      <c r="F21" s="6"/>
      <c r="G21" s="6"/>
    </row>
    <row r="22" customFormat="false" ht="15" hidden="false" customHeight="true" outlineLevel="0" collapsed="false">
      <c r="B22" s="9" t="s">
        <v>126</v>
      </c>
      <c r="C22" s="21" t="n">
        <f aca="false">Assumptions!C33</f>
        <v>826.4</v>
      </c>
    </row>
    <row r="23" customFormat="false" ht="15" hidden="false" customHeight="true" outlineLevel="0" collapsed="false">
      <c r="B23" s="9" t="s">
        <v>127</v>
      </c>
      <c r="C23" s="16" t="n">
        <f aca="false">Assumptions!C39-C22</f>
        <v>115.774</v>
      </c>
    </row>
    <row r="24" customFormat="false" ht="15" hidden="false" customHeight="true" outlineLevel="0" collapsed="false">
      <c r="B24" s="9" t="s">
        <v>128</v>
      </c>
      <c r="C24" s="16" t="n">
        <f aca="false">C9-(C10+C11)</f>
        <v>-1244.93976771067</v>
      </c>
    </row>
    <row r="25" customFormat="false" ht="15" hidden="false" customHeight="true" outlineLevel="0" collapsed="false">
      <c r="B25" s="9" t="s">
        <v>129</v>
      </c>
      <c r="C25" s="16" t="n">
        <f aca="false">(C6-Assumptions!C17)*Assumptions!C37</f>
        <v>169.848853479445</v>
      </c>
    </row>
    <row r="26" customFormat="false" ht="15" hidden="false" customHeight="true" outlineLevel="0" collapsed="false">
      <c r="B26" s="9" t="s">
        <v>130</v>
      </c>
      <c r="C26" s="16" t="n">
        <f aca="false">C6*(C7-Assumptions!C37)</f>
        <v>0</v>
      </c>
    </row>
    <row r="27" customFormat="false" ht="15" hidden="false" customHeight="true" outlineLevel="0" collapsed="false">
      <c r="B27" s="9" t="s">
        <v>131</v>
      </c>
      <c r="C27" s="16" t="n">
        <f aca="false">C23-C24</f>
        <v>1360.71376771067</v>
      </c>
    </row>
    <row r="28" customFormat="false" ht="15" hidden="false" customHeight="true" outlineLevel="0" collapsed="false">
      <c r="B28" s="9" t="s">
        <v>132</v>
      </c>
      <c r="C28" s="21" t="n">
        <f aca="false">-Assumptions!C28</f>
        <v>-43.407872</v>
      </c>
    </row>
    <row r="29" customFormat="false" ht="15" hidden="false" customHeight="true" outlineLevel="0" collapsed="false">
      <c r="B29" s="8" t="s">
        <v>133</v>
      </c>
      <c r="C29" s="14" t="n">
        <f aca="false">SUM(C25:C28)</f>
        <v>1487.15474919012</v>
      </c>
    </row>
    <row r="30" customFormat="false" ht="15" hidden="false" customHeight="true" outlineLevel="0" collapsed="false">
      <c r="B30" s="9" t="s">
        <v>134</v>
      </c>
      <c r="C30" s="16" t="n">
        <f aca="false">C16-C15</f>
        <v>1487.15474919012</v>
      </c>
    </row>
    <row r="32" customFormat="false" ht="27.75" hidden="false" customHeight="true" outlineLevel="0" collapsed="false">
      <c r="B32" s="7" t="s">
        <v>135</v>
      </c>
      <c r="C32" s="7"/>
      <c r="D32" s="7"/>
      <c r="E32" s="7"/>
      <c r="F32" s="7"/>
      <c r="G32" s="7"/>
    </row>
    <row r="34" customFormat="false" ht="15" hidden="false" customHeight="true" outlineLevel="0" collapsed="false">
      <c r="B34" s="25" t="s">
        <v>136</v>
      </c>
      <c r="C34" s="25"/>
      <c r="D34" s="25"/>
      <c r="E34" s="25"/>
      <c r="F34" s="25"/>
      <c r="G34" s="25"/>
    </row>
    <row r="35" customFormat="false" ht="45" hidden="false" customHeight="true" outlineLevel="0" collapsed="false">
      <c r="B35" s="7" t="s">
        <v>137</v>
      </c>
      <c r="C35" s="7"/>
      <c r="D35" s="7"/>
      <c r="E35" s="7"/>
      <c r="F35" s="7"/>
      <c r="G35" s="7"/>
    </row>
    <row r="36" customFormat="false" ht="15" hidden="false" customHeight="true" outlineLevel="0" collapsed="false">
      <c r="B36" s="7"/>
      <c r="C36" s="7"/>
      <c r="D36" s="7"/>
      <c r="E36" s="7"/>
      <c r="F36" s="7"/>
      <c r="G36" s="7"/>
    </row>
    <row r="37" customFormat="false" ht="27.75" hidden="false" customHeight="true" outlineLevel="0" collapsed="false">
      <c r="B37" s="26" t="s">
        <v>138</v>
      </c>
      <c r="C37" s="27" t="n">
        <f aca="false">$C$7-0.4</f>
        <v>1.52413409837249</v>
      </c>
      <c r="D37" s="27" t="n">
        <f aca="false">$C$7-0.2</f>
        <v>1.72413409837249</v>
      </c>
      <c r="E37" s="27" t="n">
        <f aca="false">$C$7</f>
        <v>1.92413409837249</v>
      </c>
      <c r="F37" s="27" t="n">
        <f aca="false">$C$7+0.2</f>
        <v>2.12413409837249</v>
      </c>
      <c r="G37" s="27" t="n">
        <f aca="false">$C$7+0.4</f>
        <v>2.32413409837249</v>
      </c>
    </row>
    <row r="38" customFormat="false" ht="15" hidden="false" customHeight="true" outlineLevel="0" collapsed="false">
      <c r="B38" s="28" t="n">
        <f aca="false">Assumptions!$C$8-0.2</f>
        <v>0</v>
      </c>
      <c r="C38" s="29" t="n">
        <f aca="false">(('Debt Schedule'!$G$7*C$37-'Debt Schedule'!$G$18+Assumptions!$C$33+'Debt Schedule'!$G$21)/((Assumptions!$C$6*(1+$B38)*Assumptions!$C$7+Assumptions!$C$20)*(1+Assumptions!$C$27)-Assumptions!$C$34-Assumptions!$C$39))^(1/$C$18)-1</f>
        <v>0.230658902285587</v>
      </c>
      <c r="D38" s="29" t="n">
        <f aca="false">(('Debt Schedule'!$G$7*D$37-'Debt Schedule'!$G$18+Assumptions!$C$33+'Debt Schedule'!$G$21)/((Assumptions!$C$6*(1+$B38)*Assumptions!$C$7+Assumptions!$C$20)*(1+Assumptions!$C$27)-Assumptions!$C$34-Assumptions!$C$39))^(1/$C$18)-1</f>
        <v>0.244561092946846</v>
      </c>
      <c r="E38" s="29" t="n">
        <f aca="false">(('Debt Schedule'!$G$7*E$37-'Debt Schedule'!$G$18+Assumptions!$C$33+'Debt Schedule'!$G$21)/((Assumptions!$C$6*(1+$B38)*Assumptions!$C$7+Assumptions!$C$20)*(1+Assumptions!$C$27)-Assumptions!$C$34-Assumptions!$C$39))^(1/$C$18)-1</f>
        <v>0.257868511574317</v>
      </c>
      <c r="F38" s="29" t="n">
        <f aca="false">(('Debt Schedule'!$G$7*F$37-'Debt Schedule'!$G$18+Assumptions!$C$33+'Debt Schedule'!$G$21)/((Assumptions!$C$6*(1+$B38)*Assumptions!$C$7+Assumptions!$C$20)*(1+Assumptions!$C$27)-Assumptions!$C$34-Assumptions!$C$39))^(1/$C$18)-1</f>
        <v>0.270635519070148</v>
      </c>
      <c r="G38" s="29" t="n">
        <f aca="false">(('Debt Schedule'!$G$7*G$37-'Debt Schedule'!$G$18+Assumptions!$C$33+'Debt Schedule'!$G$21)/((Assumptions!$C$6*(1+$B38)*Assumptions!$C$7+Assumptions!$C$20)*(1+Assumptions!$C$27)-Assumptions!$C$34-Assumptions!$C$39))^(1/$C$18)-1</f>
        <v>0.282909119362724</v>
      </c>
    </row>
    <row r="39" customFormat="false" ht="15" hidden="false" customHeight="true" outlineLevel="0" collapsed="false">
      <c r="B39" s="28" t="n">
        <f aca="false">Assumptions!$C$8-0.1</f>
        <v>0.1</v>
      </c>
      <c r="C39" s="29" t="n">
        <f aca="false">(('Debt Schedule'!$G$7*C$37-'Debt Schedule'!$G$18+Assumptions!$C$33+'Debt Schedule'!$G$21)/((Assumptions!$C$6*(1+$B39)*Assumptions!$C$7+Assumptions!$C$20)*(1+Assumptions!$C$27)-Assumptions!$C$34-Assumptions!$C$39))^(1/$C$18)-1</f>
        <v>0.200773725807596</v>
      </c>
      <c r="D39" s="29" t="n">
        <f aca="false">(('Debt Schedule'!$G$7*D$37-'Debt Schedule'!$G$18+Assumptions!$C$33+'Debt Schedule'!$G$21)/((Assumptions!$C$6*(1+$B39)*Assumptions!$C$7+Assumptions!$C$20)*(1+Assumptions!$C$27)-Assumptions!$C$34-Assumptions!$C$39))^(1/$C$18)-1</f>
        <v>0.214338317300986</v>
      </c>
      <c r="E39" s="29" t="n">
        <f aca="false">(('Debt Schedule'!$G$7*E$37-'Debt Schedule'!$G$18+Assumptions!$C$33+'Debt Schedule'!$G$21)/((Assumptions!$C$6*(1+$B39)*Assumptions!$C$7+Assumptions!$C$20)*(1+Assumptions!$C$27)-Assumptions!$C$34-Assumptions!$C$39))^(1/$C$18)-1</f>
        <v>0.227322580134914</v>
      </c>
      <c r="F39" s="29" t="n">
        <f aca="false">(('Debt Schedule'!$G$7*F$37-'Debt Schedule'!$G$18+Assumptions!$C$33+'Debt Schedule'!$G$21)/((Assumptions!$C$6*(1+$B39)*Assumptions!$C$7+Assumptions!$C$20)*(1+Assumptions!$C$27)-Assumptions!$C$34-Assumptions!$C$39))^(1/$C$18)-1</f>
        <v>0.239779555117756</v>
      </c>
      <c r="G39" s="29" t="n">
        <f aca="false">(('Debt Schedule'!$G$7*G$37-'Debt Schedule'!$G$18+Assumptions!$C$33+'Debt Schedule'!$G$21)/((Assumptions!$C$6*(1+$B39)*Assumptions!$C$7+Assumptions!$C$20)*(1+Assumptions!$C$27)-Assumptions!$C$34-Assumptions!$C$39))^(1/$C$18)-1</f>
        <v>0.25175510474001</v>
      </c>
    </row>
    <row r="40" customFormat="false" ht="15" hidden="false" customHeight="true" outlineLevel="0" collapsed="false">
      <c r="B40" s="28" t="n">
        <f aca="false">Assumptions!$C$8</f>
        <v>0.2</v>
      </c>
      <c r="C40" s="29" t="n">
        <f aca="false">(('Debt Schedule'!$G$7*C$37-'Debt Schedule'!$G$18+Assumptions!$C$33+'Debt Schedule'!$G$21)/((Assumptions!$C$6*(1+$B40)*Assumptions!$C$7+Assumptions!$C$20)*(1+Assumptions!$C$27)-Assumptions!$C$34-Assumptions!$C$39))^(1/$C$18)-1</f>
        <v>0.174774488582425</v>
      </c>
      <c r="D40" s="29" t="n">
        <f aca="false">(('Debt Schedule'!$G$7*D$37-'Debt Schedule'!$G$18+Assumptions!$C$33+'Debt Schedule'!$G$21)/((Assumptions!$C$6*(1+$B40)*Assumptions!$C$7+Assumptions!$C$20)*(1+Assumptions!$C$27)-Assumptions!$C$34-Assumptions!$C$39))^(1/$C$18)-1</f>
        <v>0.188045378586084</v>
      </c>
      <c r="E40" s="30" t="n">
        <f aca="false">(('Debt Schedule'!$G$7*E$37-'Debt Schedule'!$G$18+Assumptions!$C$33+'Debt Schedule'!$G$21)/((Assumptions!$C$6*(1+$B40)*Assumptions!$C$7+Assumptions!$C$20)*(1+Assumptions!$C$27)-Assumptions!$C$34-Assumptions!$C$39))^(1/$C$18)-1</f>
        <v>0.200748505247262</v>
      </c>
      <c r="F40" s="29" t="n">
        <f aca="false">(('Debt Schedule'!$G$7*F$37-'Debt Schedule'!$G$18+Assumptions!$C$33+'Debt Schedule'!$G$21)/((Assumptions!$C$6*(1+$B40)*Assumptions!$C$7+Assumptions!$C$20)*(1+Assumptions!$C$27)-Assumptions!$C$34-Assumptions!$C$39))^(1/$C$18)-1</f>
        <v>0.212935760931016</v>
      </c>
      <c r="G40" s="29" t="n">
        <f aca="false">(('Debt Schedule'!$G$7*G$37-'Debt Schedule'!$G$18+Assumptions!$C$33+'Debt Schedule'!$G$21)/((Assumptions!$C$6*(1+$B40)*Assumptions!$C$7+Assumptions!$C$20)*(1+Assumptions!$C$27)-Assumptions!$C$34-Assumptions!$C$39))^(1/$C$18)-1</f>
        <v>0.224652015109975</v>
      </c>
    </row>
    <row r="41" customFormat="false" ht="15" hidden="false" customHeight="true" outlineLevel="0" collapsed="false">
      <c r="B41" s="28" t="n">
        <f aca="false">Assumptions!$C$8+0.1</f>
        <v>0.3</v>
      </c>
      <c r="C41" s="29" t="n">
        <f aca="false">(('Debt Schedule'!$G$7*C$37-'Debt Schedule'!$G$18+Assumptions!$C$33+'Debt Schedule'!$G$21)/((Assumptions!$C$6*(1+$B41)*Assumptions!$C$7+Assumptions!$C$20)*(1+Assumptions!$C$27)-Assumptions!$C$34-Assumptions!$C$39))^(1/$C$18)-1</f>
        <v>0.151824869200883</v>
      </c>
      <c r="D41" s="29" t="n">
        <f aca="false">(('Debt Schedule'!$G$7*D$37-'Debt Schedule'!$G$18+Assumptions!$C$33+'Debt Schedule'!$G$21)/((Assumptions!$C$6*(1+$B41)*Assumptions!$C$7+Assumptions!$C$20)*(1+Assumptions!$C$27)-Assumptions!$C$34-Assumptions!$C$39))^(1/$C$18)-1</f>
        <v>0.164836507852561</v>
      </c>
      <c r="E41" s="29" t="n">
        <f aca="false">(('Debt Schedule'!$G$7*E$37-'Debt Schedule'!$G$18+Assumptions!$C$33+'Debt Schedule'!$G$21)/((Assumptions!$C$6*(1+$B41)*Assumptions!$C$7+Assumptions!$C$20)*(1+Assumptions!$C$27)-Assumptions!$C$34-Assumptions!$C$39))^(1/$C$18)-1</f>
        <v>0.177291474611848</v>
      </c>
      <c r="F41" s="29" t="n">
        <f aca="false">(('Debt Schedule'!$G$7*F$37-'Debt Schedule'!$G$18+Assumptions!$C$33+'Debt Schedule'!$G$21)/((Assumptions!$C$6*(1+$B41)*Assumptions!$C$7+Assumptions!$C$20)*(1+Assumptions!$C$27)-Assumptions!$C$34-Assumptions!$C$39))^(1/$C$18)-1</f>
        <v>0.189240648108795</v>
      </c>
      <c r="G41" s="29" t="n">
        <f aca="false">(('Debt Schedule'!$G$7*G$37-'Debt Schedule'!$G$18+Assumptions!$C$33+'Debt Schedule'!$G$21)/((Assumptions!$C$6*(1+$B41)*Assumptions!$C$7+Assumptions!$C$20)*(1+Assumptions!$C$27)-Assumptions!$C$34-Assumptions!$C$39))^(1/$C$18)-1</f>
        <v>0.200728021275613</v>
      </c>
    </row>
    <row r="42" customFormat="false" ht="15" hidden="false" customHeight="true" outlineLevel="0" collapsed="false">
      <c r="B42" s="28" t="n">
        <f aca="false">Assumptions!$C$8+0.2</f>
        <v>0.4</v>
      </c>
      <c r="C42" s="29" t="n">
        <f aca="false">(('Debt Schedule'!$G$7*C$37-'Debt Schedule'!$G$18+Assumptions!$C$33+'Debt Schedule'!$G$21)/((Assumptions!$C$6*(1+$B42)*Assumptions!$C$7+Assumptions!$C$20)*(1+Assumptions!$C$27)-Assumptions!$C$34-Assumptions!$C$39))^(1/$C$18)-1</f>
        <v>0.13132714722794</v>
      </c>
      <c r="D42" s="29" t="n">
        <f aca="false">(('Debt Schedule'!$G$7*D$37-'Debt Schedule'!$G$18+Assumptions!$C$33+'Debt Schedule'!$G$21)/((Assumptions!$C$6*(1+$B42)*Assumptions!$C$7+Assumptions!$C$20)*(1+Assumptions!$C$27)-Assumptions!$C$34-Assumptions!$C$39))^(1/$C$18)-1</f>
        <v>0.144107232491055</v>
      </c>
      <c r="E42" s="29" t="n">
        <f aca="false">(('Debt Schedule'!$G$7*E$37-'Debt Schedule'!$G$18+Assumptions!$C$33+'Debt Schedule'!$G$21)/((Assumptions!$C$6*(1+$B42)*Assumptions!$C$7+Assumptions!$C$20)*(1+Assumptions!$C$27)-Assumptions!$C$34-Assumptions!$C$39))^(1/$C$18)-1</f>
        <v>0.156340552320639</v>
      </c>
      <c r="F42" s="29" t="n">
        <f aca="false">(('Debt Schedule'!$G$7*F$37-'Debt Schedule'!$G$18+Assumptions!$C$33+'Debt Schedule'!$G$21)/((Assumptions!$C$6*(1+$B42)*Assumptions!$C$7+Assumptions!$C$20)*(1+Assumptions!$C$27)-Assumptions!$C$34-Assumptions!$C$39))^(1/$C$18)-1</f>
        <v>0.168077079917418</v>
      </c>
      <c r="G42" s="29" t="n">
        <f aca="false">(('Debt Schedule'!$G$7*G$37-'Debt Schedule'!$G$18+Assumptions!$C$33+'Debt Schedule'!$G$21)/((Assumptions!$C$6*(1+$B42)*Assumptions!$C$7+Assumptions!$C$20)*(1+Assumptions!$C$27)-Assumptions!$C$34-Assumptions!$C$39))^(1/$C$18)-1</f>
        <v>0.17936002532124</v>
      </c>
    </row>
    <row r="44" customFormat="false" ht="30" hidden="false" customHeight="true" outlineLevel="0" collapsed="false">
      <c r="B44" s="7" t="s">
        <v>139</v>
      </c>
      <c r="C44" s="7"/>
      <c r="D44" s="7"/>
      <c r="E44" s="7"/>
      <c r="F44" s="7"/>
      <c r="G44" s="7"/>
    </row>
  </sheetData>
  <mergeCells count="5">
    <mergeCell ref="B2:F2"/>
    <mergeCell ref="B32:G32"/>
    <mergeCell ref="B34:G34"/>
    <mergeCell ref="B35:G36"/>
    <mergeCell ref="B44:G44"/>
  </mergeCells>
  <conditionalFormatting sqref="C38:G42">
    <cfRule type="colorScale" priority="2">
      <colorScale>
        <cfvo type="min" val="0"/>
        <cfvo type="max" val="0"/>
        <color rgb="FFFFFFFF"/>
        <color rgb="FF1F3864"/>
      </colorScale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72"/>
    <col collapsed="false" customWidth="true" hidden="false" outlineLevel="0" max="3" min="3" style="1" width="10"/>
    <col collapsed="false" customWidth="true" hidden="false" outlineLevel="0" max="4" min="4" style="1" width="14"/>
  </cols>
  <sheetData>
    <row r="2" customFormat="false" ht="17.25" hidden="false" customHeight="true" outlineLevel="0" collapsed="false">
      <c r="B2" s="2" t="s">
        <v>140</v>
      </c>
      <c r="C2" s="2"/>
      <c r="D2" s="2"/>
      <c r="E2" s="2"/>
      <c r="F2" s="2"/>
    </row>
    <row r="5" customFormat="false" ht="15" hidden="false" customHeight="true" outlineLevel="0" collapsed="false">
      <c r="B5" s="8" t="s">
        <v>141</v>
      </c>
      <c r="D5" s="8" t="s">
        <v>142</v>
      </c>
    </row>
    <row r="6" customFormat="false" ht="15" hidden="false" customHeight="true" outlineLevel="0" collapsed="false">
      <c r="B6" s="9" t="s">
        <v>143</v>
      </c>
      <c r="D6" s="9" t="str">
        <f aca="false">IF(ROUND(Assumptions!C43-Assumptions!C29,1)=0,"OK","A VERIFIER")</f>
        <v>OK</v>
      </c>
    </row>
    <row r="7" customFormat="false" ht="15" hidden="false" customHeight="true" outlineLevel="0" collapsed="false">
      <c r="B7" s="9" t="s">
        <v>144</v>
      </c>
      <c r="D7" s="9" t="str">
        <f aca="false">IF(ROUND(Returns!C29-Returns!C30,1)=0,"OK","A VERIFIER")</f>
        <v>OK</v>
      </c>
    </row>
    <row r="8" customFormat="false" ht="15" hidden="false" customHeight="true" outlineLevel="0" collapsed="false">
      <c r="B8" s="9" t="s">
        <v>145</v>
      </c>
      <c r="D8" s="9" t="str">
        <f aca="false">IF(MIN('Debt Schedule'!C18:G18)&gt;=0,"OK","A VERIFIER")</f>
        <v>OK</v>
      </c>
    </row>
    <row r="9" customFormat="false" ht="15" hidden="false" customHeight="true" outlineLevel="0" collapsed="false">
      <c r="B9" s="9" t="s">
        <v>146</v>
      </c>
      <c r="D9" s="9" t="str">
        <f aca="false">IF(Assumptions!C41&gt;0,"OK","A VERIFIER")</f>
        <v>OK</v>
      </c>
    </row>
    <row r="10" customFormat="false" ht="15" hidden="false" customHeight="true" outlineLevel="0" collapsed="false">
      <c r="B10" s="9" t="s">
        <v>147</v>
      </c>
      <c r="D10" s="9" t="str">
        <f aca="false">IF(MIN('Debt Schedule'!C16:G16)&gt;=0,"OK","A VERIFIER")</f>
        <v>OK</v>
      </c>
    </row>
    <row r="11" customFormat="false" ht="15" hidden="false" customHeight="true" outlineLevel="0" collapsed="false">
      <c r="B11" s="9" t="s">
        <v>148</v>
      </c>
      <c r="D11" s="9" t="str">
        <f aca="false">IF(AND(Returns!C17&gt;1,Returns!C19&gt;0),"OK","A VERIFIER")</f>
        <v>OK</v>
      </c>
    </row>
    <row r="12" customFormat="false" ht="15" hidden="false" customHeight="true" outlineLevel="0" collapsed="false">
      <c r="B12" s="9" t="s">
        <v>149</v>
      </c>
      <c r="D12" s="9" t="str">
        <f aca="false">IF(Assumptions!$C$38&lt;=Assumptions!$C$55,"OK","A VERIFIER")</f>
        <v>OK</v>
      </c>
    </row>
    <row r="13" customFormat="false" ht="15" hidden="false" customHeight="true" outlineLevel="0" collapsed="false">
      <c r="B13" s="9" t="s">
        <v>150</v>
      </c>
      <c r="C13" s="9"/>
      <c r="D13" s="9" t="str">
        <f aca="false">IF(_xlfn.MINIFS('Debt Schedule'!$C$29:$G$29,'Debt Schedule'!$C$11:$G$11,"&gt;0")&gt;=Assumptions!$C$56,"OK","A VERIFIER")</f>
        <v>OK</v>
      </c>
    </row>
    <row r="15" customFormat="false" ht="15" hidden="false" customHeight="true" outlineLevel="0" collapsed="false">
      <c r="B15" s="8" t="s">
        <v>151</v>
      </c>
      <c r="C15" s="8" t="str">
        <f aca="false">IF(COUNTIF(D6:D13,"OK")=8,"Tous les contrôles sont OK","Au moins un contrôle à vérifier")</f>
        <v>Tous les contrôles sont OK</v>
      </c>
    </row>
  </sheetData>
  <mergeCells count="1">
    <mergeCell ref="B2:F2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2026-10-12T16:48:00Z</dcterms:created>
  <dc:creator>openpyxl</dc:creator>
  <dc:description/>
  <dc:language>en-US</dc:language>
  <cp:lastModifiedBy/>
  <dcterms:modified xsi:type="dcterms:W3CDTF">2026-10-14T11:45:16Z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