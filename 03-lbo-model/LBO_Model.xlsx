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Assumptions" sheetId="2" state="visible" r:id="rId4"/>
    <sheet name="Debt Schedule" sheetId="3" state="visible" r:id="rId5"/>
    <sheet name="Returns" sheetId="4" state="visible" r:id="rId6"/>
    <sheet name="Checks" sheetId="5" state="visible" r:id="rId7"/>
  </sheets>
  <definedNames>
    <definedName function="false" hidden="false" localSheetId="1" name="_xlnm.Print_Area" vbProcedure="false">Assumptions!$A$1:$J$57</definedName>
    <definedName function="false" hidden="false" localSheetId="4" name="_xlnm.Print_Area" vbProcedure="false">Checks!$A$1:$F$16</definedName>
    <definedName function="false" hidden="false" localSheetId="0" name="_xlnm.Print_Area" vbProcedure="false">Cover!$A$1:$G$23</definedName>
    <definedName function="false" hidden="false" localSheetId="2" name="_xlnm.Print_Area" vbProcedure="false">'Debt Schedule'!$A$1:$G$31</definedName>
    <definedName function="false" hidden="false" localSheetId="3" name="_xlnm.Print_Area" vbProcedure="false">Returns!$A$1:$G$46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<sst xmlns="http://schemas.openxmlformats.org/spreadsheetml/2006/main" count="156" uniqueCount="152">
  <si>
    <t xml:space="preserve">LBO simplifié - cas d'école sur Fnac Darty (EPA : FNAC)</t>
  </si>
  <si>
    <t xml:space="preserve">Exercice de formation - Yvann Ahoure</t>
  </si>
  <si>
    <t xml:space="preserve">Toutes les valeurs sont en millions d'euros (M€), sauf mention contraire.</t>
  </si>
  <si>
    <t xml:space="preserve">Avertissement important</t>
  </si>
  <si>
    <t xml:space="preserve">Exercice de formation à la mécanique d'un LBO (structure de financement, cash sweep, IRR/MOIC, pont de création de valeur), pas une opération réelle ni une recommandation. Cours, actions, EBIT, dette brute et trésorerie FY2025 sont les chiffres publiés de Fnac Darty ; la prime d'offre, le levier, le coût de la dette et le multiple de sortie sont des hypothèses personnelles, identifiées dans l'onglet Assumptions.</t>
  </si>
  <si>
    <t xml:space="preserve">Point clé : Fnac Darty est en position de cash net</t>
  </si>
  <si>
    <t xml:space="preserve">La dette financière brute hors IFRS16 (958 M€) est inférieure à la trésorerie réelle (1 104 M€) : la cible a 146 M€ de plus de cash que de dette brute. Ce financement reprend ce point (voir projet 2 et projet 4 du portfolio) : la trésorerie excédentaire de la cible finance une partie du prix, ce qui réduit mécaniquement le besoin de dette senior externe et explique le levier modéré retenu (1,7x EBITDA d'entrée, contre un multiple usuel de 3,0x) par rapport à une cible endettée.</t>
  </si>
  <si>
    <t xml:space="preserve">Sommaire</t>
  </si>
  <si>
    <t xml:space="preserve">Assumptions</t>
  </si>
  <si>
    <t xml:space="preserve">Prix d'entrée, position de trésorerie nette, sources et emplois, hypothèses d'exploitation</t>
  </si>
  <si>
    <t xml:space="preserve">Debt Schedule</t>
  </si>
  <si>
    <t xml:space="preserve">Cash sweep sur 5 ans : EBITDA, impôt, capex, BFR, cascade amortissement obligatoire puis optionnel, ratio de couverture des intérêts</t>
  </si>
  <si>
    <t xml:space="preserve">Returns</t>
  </si>
  <si>
    <t xml:space="preserve">IRR, MOIC, pont de création de valeur (EBITDA / désendettement / frais) et sensibilité à deux dimensions (prime d'offre x multiple de sortie)</t>
  </si>
  <si>
    <t xml:space="preserve">Checks</t>
  </si>
  <si>
    <t xml:space="preserve">Contrôles de cohérence du modèle et covenants de crédit hypothétiques (levier, couverture des intérêts)</t>
  </si>
  <si>
    <t xml:space="preserve">Sources (données réelles de départ uniquement)</t>
  </si>
  <si>
    <t xml:space="preserve">- Cours, actions en circulation : stockanalysis.com / marketscreener.com (12/10/2026).</t>
  </si>
  <si>
    <t xml:space="preserve">- EBIT, dette financière brute, trésorerie FY2025 : communiqué de résultats annuels Fnac Darty (25/02/2026).</t>
  </si>
  <si>
    <t xml:space="preserve">Hypothèses</t>
  </si>
  <si>
    <t xml:space="preserve">PRIX D'ENTRÉE (données réelles + prime hypothétique)</t>
  </si>
  <si>
    <t xml:space="preserve">Cours de l'action (réel, 12/10/2026)</t>
  </si>
  <si>
    <t xml:space="preserve">Réel - stockanalysis.com / marketscreener.com</t>
  </si>
  <si>
    <t xml:space="preserve">Actions en circulation (réel, M)</t>
  </si>
  <si>
    <t xml:space="preserve">Prime d'offre (hypothèse de l'exercice)</t>
  </si>
  <si>
    <t xml:space="preserve">Hypothèse personnelle - prime de contrôle usuelle sur le marché français (15-30 %)</t>
  </si>
  <si>
    <t xml:space="preserve">Prix d'offre par action</t>
  </si>
  <si>
    <t xml:space="preserve">Prix d'acquisition des fonds propres (Equity Purchase Price)</t>
  </si>
  <si>
    <t xml:space="preserve">DONNÉES D'EXPLOITATION RÉELLES ET D&amp;A (FY2025)</t>
  </si>
  <si>
    <t xml:space="preserve">Chiffre d'affaires FY2025 (réel)</t>
  </si>
  <si>
    <t xml:space="preserve">Réel - communiqué FY2025 Fnac Darty</t>
  </si>
  <si>
    <t xml:space="preserve">Résultat opérationnel courant FY2025 (EBIT réel)</t>
  </si>
  <si>
    <t xml:space="preserve">D&amp;A (% du CA, hypothèse)</t>
  </si>
  <si>
    <t xml:space="preserve">Cohérente avec l'hypothèse de D&amp;A du projet 4 (Transaction Services DD) ; la société ne publie pas le D&amp;A hors IFRS16 séparément.</t>
  </si>
  <si>
    <t xml:space="preserve">D&amp;A d'entrée FY2025 (estimée)</t>
  </si>
  <si>
    <t xml:space="preserve">EBITDA d'entrée (= EBIT réel + D&amp;A estimée)</t>
  </si>
  <si>
    <t xml:space="preserve">DETTE EXISTANTE ET TRÉSORERIE (réelles, FY2025, hors IFRS16)</t>
  </si>
  <si>
    <t xml:space="preserve">Dette financière brute FY2025 (réelle, hors IFRS16)</t>
  </si>
  <si>
    <t xml:space="preserve">Réelle - communiqué de résultats annuels Fnac Darty (25/02/2026).</t>
  </si>
  <si>
    <t xml:space="preserve">Trésorerie et équivalents de trésorerie FY2025 (réelle)</t>
  </si>
  <si>
    <t xml:space="preserve">Réelle - communiqué FY2025 ; cohérente avec le projet 2 (modèle 3 états + DCF).</t>
  </si>
  <si>
    <t xml:space="preserve">Dette nette FY2025 (position de trésorerie nette, réelle)</t>
  </si>
  <si>
    <t xml:space="preserve">958 - 1 104 = -146 M€ : Fnac Darty est en position de cash net, pas de dette nette. Lecture cohérente avec celle retenue dans le projet 2.</t>
  </si>
  <si>
    <t xml:space="preserve">EMPLOIS (USES)</t>
  </si>
  <si>
    <t xml:space="preserve">Refinancement de la dette brute existante</t>
  </si>
  <si>
    <t xml:space="preserve">Emplois avant frais (fonds propres + refinancement de la dette brute)</t>
  </si>
  <si>
    <t xml:space="preserve">Frais de transaction (% des emplois avant frais)</t>
  </si>
  <si>
    <t xml:space="preserve">Hypothèse standard (frais de conseil, financement, juridique)</t>
  </si>
  <si>
    <t xml:space="preserve">Frais de transaction</t>
  </si>
  <si>
    <t xml:space="preserve">Total des emplois (Uses)</t>
  </si>
  <si>
    <t xml:space="preserve">SOURCES (FINANCEMENT)</t>
  </si>
  <si>
    <t xml:space="preserve">Trésorerie plancher conservée (% du CA, hypothèse)</t>
  </si>
  <si>
    <t xml:space="preserve">Hypothèse personnelle : niveau de trésorerie minimum conservé pour l'exploitation de la cible, non mobilisé pour financer la transaction.</t>
  </si>
  <si>
    <t xml:space="preserve">Trésorerie plancher conservée (M€)</t>
  </si>
  <si>
    <t xml:space="preserve">Trésorerie excédentaire utilisée pour financer la transaction</t>
  </si>
  <si>
    <t xml:space="preserve">La trésorerie de la cible au-delà du plancher réduit le besoin de financement externe (dette + fonds propres).</t>
  </si>
  <si>
    <t xml:space="preserve">Besoin de financement externe (dette + fonds propres)</t>
  </si>
  <si>
    <t xml:space="preserve">Valeur d'entreprise à l'entrée (VE = prix des fonds propres + dette nette)</t>
  </si>
  <si>
    <t xml:space="preserve">Multiple d'entrée (VE / EBITDA d'entrée, calculé)</t>
  </si>
  <si>
    <t xml:space="preserve">Levier senior (x EBITDA d'entrée, hypothèse)</t>
  </si>
  <si>
    <t xml:space="preserve">Revu à la baisse par rapport à un levier usuel de 3,0x : la position de cash net de la cible finance une large part du prix et réduit le besoin de dette externe.</t>
  </si>
  <si>
    <t xml:space="preserve">Dette senior à l'entrée</t>
  </si>
  <si>
    <t xml:space="preserve">Taux d'intérêt de la dette senior</t>
  </si>
  <si>
    <t xml:space="preserve">Hypothèse personnelle, cohérente avec le marché du leveraged loan en 2026</t>
  </si>
  <si>
    <t xml:space="preserve">Apport en fonds propres du sponsor (plug)</t>
  </si>
  <si>
    <t xml:space="preserve">Apport en fonds propres (% du besoin de financement externe)</t>
  </si>
  <si>
    <t xml:space="preserve">Total des sources (contrôle = total des emplois)</t>
  </si>
  <si>
    <t xml:space="preserve">HYPOTHÈSES D'EXPLOITATION (5 ans, personnelles)</t>
  </si>
  <si>
    <t xml:space="preserve">Croissance de l'EBITDA (%/an)</t>
  </si>
  <si>
    <t xml:space="preserve">Croissance du chiffre d'affaires (%/an)</t>
  </si>
  <si>
    <t xml:space="preserve">Capex (% du chiffre d'affaires)</t>
  </si>
  <si>
    <t xml:space="preserve">Variation du BFR (% de la variation du CA, hypothèse)</t>
  </si>
  <si>
    <t xml:space="preserve">Taux d'IS</t>
  </si>
  <si>
    <t xml:space="preserve">Multiple de sortie (VE/EBITDA, = multiple d'entrée)</t>
  </si>
  <si>
    <t xml:space="preserve">Hypothèse prudente : la création de valeur vient de la croissance et du désendettement, pas d'un re-rating.</t>
  </si>
  <si>
    <t xml:space="preserve">STRUCTURE DE REMBOURSEMENT ET COVENANTS (HYPOTHÈSES)</t>
  </si>
  <si>
    <t xml:space="preserve">Amortissement obligatoire dette senior (%/an)</t>
  </si>
  <si>
    <t xml:space="preserve">Hypothèse personnelle : amortissement minimal usuel d'un prêt à terme institutionnel en LBO (Term Loan A/B), généralement compris entre 1 % et 5 % par an avant cash sweep (BIWS, LBO Model Guide, pages 9 et 44).</t>
  </si>
  <si>
    <t xml:space="preserve">Covenant de levier maximal (dette senior/EBITDA)</t>
  </si>
  <si>
    <t xml:space="preserve">Hypothèse personnelle de covenant de maintenance, dans la fourchette usuelle citée par le guide BIWS LBO Model (Senior Debt / EBITDA ne doit pas dépasser 2,0x, page 45).</t>
  </si>
  <si>
    <t xml:space="preserve">Covenant de couverture des intérêts (EBITDA/intérêts)</t>
  </si>
  <si>
    <t xml:space="preserve">Hypothèse personnelle de covenant de maintenance, dans la fourchette usuelle citée par le guide BIWS LBO Model (EBITDA / Interest Expense ne doit pas descendre sous 5,0x, page 45).</t>
  </si>
  <si>
    <t xml:space="preserve">Cash sweep - 5 ans</t>
  </si>
  <si>
    <t xml:space="preserve">Année 1</t>
  </si>
  <si>
    <t xml:space="preserve">Année 2</t>
  </si>
  <si>
    <t xml:space="preserve">Année 3</t>
  </si>
  <si>
    <t xml:space="preserve">Année 4</t>
  </si>
  <si>
    <t xml:space="preserve">Année 5</t>
  </si>
  <si>
    <t xml:space="preserve">Chiffre d'affaires</t>
  </si>
  <si>
    <t xml:space="preserve">EBITDA</t>
  </si>
  <si>
    <t xml:space="preserve">D&amp;A (% du CA, réf. Assumptions)</t>
  </si>
  <si>
    <t xml:space="preserve">EBIT (= EBITDA - D&amp;A)</t>
  </si>
  <si>
    <t xml:space="preserve">Dette senior en début de période</t>
  </si>
  <si>
    <t xml:space="preserve">Charge d'intérêt</t>
  </si>
  <si>
    <t xml:space="preserve">Résultat avant impôt (EBT = EBIT - intérêts)</t>
  </si>
  <si>
    <t xml:space="preserve">Impôt (= MAX(EBT,0) x taux d'IS)</t>
  </si>
  <si>
    <t xml:space="preserve">Capex</t>
  </si>
  <si>
    <t xml:space="preserve">Variation du BFR (impact trésorerie)</t>
  </si>
  <si>
    <t xml:space="preserve">FCF disponible (désendettement + accumulation de trésorerie)</t>
  </si>
  <si>
    <t xml:space="preserve">Remboursement de la dette senior (cash sweep)</t>
  </si>
  <si>
    <t xml:space="preserve">Dette senior en fin de période</t>
  </si>
  <si>
    <t xml:space="preserve">Trésorerie excédentaire accumulée sur la période</t>
  </si>
  <si>
    <t xml:space="preserve">Trésorerie excédentaire accumulée, cumulée fin de période</t>
  </si>
  <si>
    <t xml:space="preserve">Lecture : le FCF disponible (ligne 16) rembourse la dette senior en priorité (cash sweep à 100 %) ; une fois la dette intégralement remboursée (ligne 18 = 0), le FCF excédentaire s'accumule en trésorerie (lignes 20-21) plutôt que de disparaître du modèle.</t>
  </si>
  <si>
    <t xml:space="preserve">MÉMO : CASCADE DE REMBOURSEMENT ET RATIO DE COUVERTURE</t>
  </si>
  <si>
    <t xml:space="preserve">dont amortissement obligatoire (mémo, priorité de paiement)</t>
  </si>
  <si>
    <t xml:space="preserve">dont remboursement optionnel, cash sweep (mémo, résiduel)</t>
  </si>
  <si>
    <t xml:space="preserve">Lecture : le remboursement total (ligne 17) suit la cascade standard d'un prêt à terme en LBO, l'amortissement obligatoire est réglé en priorité, puis l'excédent de trésorerie disponible (cash sweep) est affecté en remboursement optionnel du solde restant, conformément à la hiérarchie décrite dans le guide BIWS LBO Model (Key Rule n°3 : les remboursements obligatoires sont toujours réglés avant les remboursements optionnels).</t>
  </si>
  <si>
    <t xml:space="preserve">Ratio de couverture des intérêts (EBITDA / charge d'intérêts)</t>
  </si>
  <si>
    <t xml:space="preserve">Lecture : en Année 5, la dette senior est intégralement remboursée (charge d'intérêts nulle), le ratio affiche 0 par convention de calcul (IFERROR) plutôt qu'une erreur de division ; le contrôle de couverture des intérêts (onglet Checks) ne porte donc que sur les années où la dette senior porte encore intérêt.</t>
  </si>
  <si>
    <t xml:space="preserve">Rendement du sponsor : IRR, MOIC, pont de création de valeur</t>
  </si>
  <si>
    <t xml:space="preserve">SORTIE À 5 ANS</t>
  </si>
  <si>
    <t xml:space="preserve">EBITDA de sortie (Année 5)</t>
  </si>
  <si>
    <t xml:space="preserve">Multiple de sortie</t>
  </si>
  <si>
    <t xml:space="preserve">Valeur d'entreprise de sortie</t>
  </si>
  <si>
    <t xml:space="preserve">- Dette senior restante (fin Année 5)</t>
  </si>
  <si>
    <t xml:space="preserve">+ Trésorerie plancher conservée (réf. Assumptions)</t>
  </si>
  <si>
    <t xml:space="preserve">+ Trésorerie excédentaire accumulée (fin Année 5)</t>
  </si>
  <si>
    <t xml:space="preserve">-&gt; Valeur des fonds propres à la sortie</t>
  </si>
  <si>
    <t xml:space="preserve">RENDEMENT DU SPONSOR</t>
  </si>
  <si>
    <t xml:space="preserve">Apport en fonds propres à l'entrée</t>
  </si>
  <si>
    <t xml:space="preserve">Valeur des fonds propres à la sortie</t>
  </si>
  <si>
    <t xml:space="preserve">MOIC (multiple sur capital investi)</t>
  </si>
  <si>
    <t xml:space="preserve">Durée de détention (années)</t>
  </si>
  <si>
    <t xml:space="preserve">IRR (= MOIC^(1/n) - 1)</t>
  </si>
  <si>
    <t xml:space="preserve">PONT DE CRÉATION DE VALEUR (fonds propres)</t>
  </si>
  <si>
    <t xml:space="preserve">Entrée : trésorerie plancher conservée (réf. Assumptions)</t>
  </si>
  <si>
    <t xml:space="preserve">Dette nette de la structure à l'entrée (dette senior - trésorerie plancher)</t>
  </si>
  <si>
    <t xml:space="preserve">Dette nette de la structure à la sortie</t>
  </si>
  <si>
    <t xml:space="preserve">Contribution croissance de l'EBITDA (à multiple d'entrée constant)</t>
  </si>
  <si>
    <t xml:space="preserve">Contribution variation de multiple</t>
  </si>
  <si>
    <t xml:space="preserve">Contribution désendettement (dette nette entrée - dette nette sortie)</t>
  </si>
  <si>
    <t xml:space="preserve">- Frais de transaction (valeur détruite à la clôture)</t>
  </si>
  <si>
    <t xml:space="preserve">Total création de valeur (contrôle)</t>
  </si>
  <si>
    <t xml:space="preserve">Création de valeur réelle (sortie - entrée, contrôle croisé)</t>
  </si>
  <si>
    <t xml:space="preserve">Lecture : l'apport en fonds propres du sponsor est faible (16,9 % du total des emplois, réf. Assumptions C42) car la trésorerie excédentaire de la cible finance une large part de la transaction. Ce levier mécanique amplifie le MOIC pour un même montant de création de valeur en euros : point de vigilance, pas une erreur de calcul (voir Checks).</t>
  </si>
  <si>
    <t xml:space="preserve">SENSIBILITÉ DE L'IRR : PRIME D'OFFRE x MULTIPLE DE SORTIE</t>
  </si>
  <si>
    <t xml:space="preserve">Lecture : dans ce modèle, la dette senior (fixée en % de l'EBITDA d'entrée) et le calendrier de désendettement ne dépendent ni de la prime payée ni du multiple de sortie ; seuls l'apport en fonds propres à l'entrée et la valeur des fonds propres à la sortie varient avec ces deux paramètres, ce qui permet un calcul direct par formule pour chaque scénario (construction analogue aux tables de sensibilité du guide BIWS LBO Model, page 19 : prime d'offre x multiple de sortie).</t>
  </si>
  <si>
    <t xml:space="preserve">Prime d'offre \ multiple de sortie (VE/EBITDA)</t>
  </si>
  <si>
    <t xml:space="preserve">La cellule encadrée (prime d'offre 20 %, multiple de sortie égal au multiple d'entrée) correspond exactement au scénario central présenté ci-dessus (IRR 37,8 %, ligne 19) : elle sert de contrôle de cohérence entre la table de sensibilité et le calcul central du modèle.</t>
  </si>
  <si>
    <t xml:space="preserve">Contrôles de cohérence</t>
  </si>
  <si>
    <t xml:space="preserve">Contrôle</t>
  </si>
  <si>
    <t xml:space="preserve">Résultat</t>
  </si>
  <si>
    <t xml:space="preserve">Total des sources = total des emplois (Assumptions)</t>
  </si>
  <si>
    <t xml:space="preserve">Pont de création de valeur = création de valeur réelle (sortie - entrée)</t>
  </si>
  <si>
    <t xml:space="preserve">Dette senior ne devient jamais négative sur les 5 ans</t>
  </si>
  <si>
    <t xml:space="preserve">Apport en fonds propres du sponsor positif</t>
  </si>
  <si>
    <t xml:space="preserve">FCF disponible positif chaque année (le sweep ne force pas une valeur négative)</t>
  </si>
  <si>
    <t xml:space="preserve">MOIC et IRR cohérents (MOIC &gt; 1 si IRR &gt; 0)</t>
  </si>
  <si>
    <t xml:space="preserve">Levier senior à l'entrée respecte le covenant hypothétique (dette senior / EBITDA)</t>
  </si>
  <si>
    <t xml:space="preserve">Couverture des intérêts respecte le covenant hypothétique chaque année (EBITDA / intérêts)</t>
  </si>
  <si>
    <t xml:space="preserve">Synthèse</t>
  </si>
</sst>
</file>

<file path=xl/styles.xml><?xml version="1.0" encoding="utf-8"?>
<styleSheet xmlns="http://schemas.openxmlformats.org/spreadsheetml/2006/main">
  <numFmts count="6">
    <numFmt numFmtId="164" formatCode="General"/>
    <numFmt numFmtId="165" formatCode="0.00&quot; €&quot;"/>
    <numFmt numFmtId="166" formatCode="#,##0.0;\(#,##0.0\);\-"/>
    <numFmt numFmtId="167" formatCode="0.0%"/>
    <numFmt numFmtId="168" formatCode="#,##0;\(#,##0\);\-"/>
    <numFmt numFmtId="169" formatCode="0.00\x"/>
  </numFmts>
  <fonts count="14">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name val="Arial"/>
      <family val="0"/>
      <charset val="1"/>
    </font>
    <font>
      <i val="true"/>
      <sz val="8"/>
      <color rgb="FF7F7F7F"/>
      <name val="Arial"/>
      <family val="0"/>
      <charset val="1"/>
    </font>
    <font>
      <b val="true"/>
      <sz val="10"/>
      <color rgb="FF1F3864"/>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sz val="10"/>
      <color rgb="FF000000"/>
      <name val="Arial"/>
      <family val="0"/>
      <charset val="1"/>
    </font>
    <font>
      <b val="true"/>
      <sz val="10"/>
      <color rgb="FF000000"/>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E7F2FF"/>
        <bgColor rgb="FFFFFFFF"/>
      </patternFill>
    </fill>
  </fills>
  <borders count="4">
    <border diagonalUp="false" diagonalDown="false">
      <left/>
      <right/>
      <top/>
      <bottom/>
      <diagonal/>
    </border>
    <border diagonalUp="false" diagonalDown="false">
      <left/>
      <right/>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1F3864"/>
      </left>
      <right style="medium">
        <color rgb="FF1F3864"/>
      </right>
      <top style="medium">
        <color rgb="FF1F3864"/>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10" fillId="0" borderId="0" xfId="0" applyFont="true" applyBorder="false" applyAlignment="true" applyProtection="true">
      <alignment horizontal="general" vertical="bottom" textRotation="0" wrapText="false" indent="0" shrinkToFit="false"/>
      <protection locked="true" hidden="false"/>
    </xf>
    <xf numFmtId="166" fontId="10" fillId="0" borderId="0" xfId="0" applyFont="true" applyBorder="false" applyAlignment="true" applyProtection="true">
      <alignment horizontal="general" vertical="bottom" textRotation="0" wrapText="false" indent="0" shrinkToFit="false"/>
      <protection locked="true" hidden="false"/>
    </xf>
    <xf numFmtId="167" fontId="10" fillId="0" borderId="0" xfId="0" applyFont="true" applyBorder="false" applyAlignment="true" applyProtection="true">
      <alignment horizontal="general" vertical="bottom" textRotation="0" wrapText="false" indent="0" shrinkToFit="false"/>
      <protection locked="true" hidden="false"/>
    </xf>
    <xf numFmtId="165" fontId="9"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8" fontId="10" fillId="0" borderId="0" xfId="0" applyFont="true" applyBorder="false" applyAlignment="true" applyProtection="true">
      <alignment horizontal="general" vertical="bottom" textRotation="0" wrapText="false" indent="0" shrinkToFit="false"/>
      <protection locked="true" hidden="false"/>
    </xf>
    <xf numFmtId="168" fontId="9"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general" vertical="bottom" textRotation="0" wrapText="false" indent="0" shrinkToFit="false"/>
      <protection locked="true" hidden="false"/>
    </xf>
    <xf numFmtId="169" fontId="10" fillId="0" borderId="0" xfId="0" applyFont="true" applyBorder="false" applyAlignment="true" applyProtection="true">
      <alignment horizontal="general" vertical="bottom" textRotation="0" wrapText="false" indent="0" shrinkToFit="false"/>
      <protection locked="true" hidden="false"/>
    </xf>
    <xf numFmtId="167" fontId="9" fillId="0" borderId="0" xfId="0" applyFont="true" applyBorder="fals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center" vertical="bottom" textRotation="0" wrapText="false" indent="0" shrinkToFit="false"/>
      <protection locked="true" hidden="false"/>
    </xf>
    <xf numFmtId="168" fontId="11" fillId="0" borderId="0" xfId="0" applyFont="true" applyBorder="false" applyAlignment="true" applyProtection="true">
      <alignment horizontal="general" vertical="bottom" textRotation="0" wrapText="false" indent="0" shrinkToFit="false"/>
      <protection locked="true" hidden="false"/>
    </xf>
    <xf numFmtId="169" fontId="11" fillId="0"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7" fontId="8" fillId="0" borderId="0" xfId="0" applyFont="true" applyBorder="false" applyAlignment="true" applyProtection="true">
      <alignment horizontal="general" vertical="bottom" textRotation="0" wrapText="false" indent="0" shrinkToFit="false"/>
      <protection locked="true" hidden="false"/>
    </xf>
    <xf numFmtId="164" fontId="7" fillId="3" borderId="0" xfId="0" applyFont="true" applyBorder="true" applyAlignment="true" applyProtection="true">
      <alignment horizontal="general" vertical="bottom" textRotation="0" wrapText="false" indent="0" shrinkToFit="false"/>
      <protection locked="true" hidden="false"/>
    </xf>
    <xf numFmtId="164" fontId="7" fillId="3" borderId="2" xfId="0" applyFont="true" applyBorder="true" applyAlignment="true" applyProtection="true">
      <alignment horizontal="left" vertical="center" textRotation="0" wrapText="true" indent="0" shrinkToFit="false"/>
      <protection locked="true" hidden="false"/>
    </xf>
    <xf numFmtId="169" fontId="7" fillId="3" borderId="2" xfId="0" applyFont="true" applyBorder="true" applyAlignment="true" applyProtection="true">
      <alignment horizontal="center" vertical="center" textRotation="0" wrapText="false" indent="0" shrinkToFit="false"/>
      <protection locked="true" hidden="false"/>
    </xf>
    <xf numFmtId="167" fontId="7" fillId="3" borderId="2" xfId="0" applyFont="true" applyBorder="true" applyAlignment="true" applyProtection="true">
      <alignment horizontal="center" vertical="center" textRotation="0" wrapText="false" indent="0" shrinkToFit="false"/>
      <protection locked="true" hidden="false"/>
    </xf>
    <xf numFmtId="167" fontId="12" fillId="0" borderId="2" xfId="0" applyFont="true" applyBorder="true" applyAlignment="true" applyProtection="true">
      <alignment horizontal="center" vertical="center" textRotation="0" wrapText="false" indent="0" shrinkToFit="false"/>
      <protection locked="true" hidden="false"/>
    </xf>
    <xf numFmtId="167" fontId="13" fillId="0" borderId="3"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FCC"/>
      <rgbColor rgb="FFE7F2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00"/>
    <col collapsed="false" customWidth="true" hidden="false" outlineLevel="0" max="7" min="3" style="1" width="13"/>
  </cols>
  <sheetData>
    <row r="2" customFormat="false" ht="17.25" hidden="false" customHeight="true" outlineLevel="0" collapsed="false">
      <c r="B2" s="2" t="s">
        <v>0</v>
      </c>
      <c r="C2" s="2"/>
      <c r="D2" s="2"/>
      <c r="E2" s="2"/>
      <c r="F2" s="2"/>
    </row>
    <row r="3" customFormat="false" ht="15" hidden="false" customHeight="true" outlineLevel="0" collapsed="false">
      <c r="B3" s="3" t="s">
        <v>1</v>
      </c>
    </row>
    <row r="4" customFormat="false" ht="15" hidden="false" customHeight="true" outlineLevel="0" collapsed="false">
      <c r="B4" s="4" t="s">
        <v>2</v>
      </c>
    </row>
    <row r="6" customFormat="false" ht="15" hidden="false" customHeight="true" outlineLevel="0" collapsed="false">
      <c r="B6" s="5" t="s">
        <v>3</v>
      </c>
      <c r="C6" s="6"/>
      <c r="D6" s="6"/>
      <c r="E6" s="6"/>
      <c r="F6" s="6"/>
      <c r="G6" s="6"/>
    </row>
    <row r="7" customFormat="false" ht="39" hidden="false" customHeight="true" outlineLevel="0" collapsed="false">
      <c r="B7" s="7" t="s">
        <v>4</v>
      </c>
      <c r="C7" s="7"/>
      <c r="D7" s="7"/>
      <c r="E7" s="7"/>
      <c r="F7" s="7"/>
      <c r="G7" s="7"/>
    </row>
    <row r="10" customFormat="false" ht="15" hidden="false" customHeight="true" outlineLevel="0" collapsed="false">
      <c r="B10" s="5" t="s">
        <v>5</v>
      </c>
      <c r="C10" s="6"/>
      <c r="D10" s="6"/>
      <c r="E10" s="6"/>
      <c r="F10" s="6"/>
      <c r="G10" s="6"/>
    </row>
    <row r="11" customFormat="false" ht="39" hidden="false" customHeight="true" outlineLevel="0" collapsed="false">
      <c r="B11" s="7" t="s">
        <v>6</v>
      </c>
      <c r="C11" s="7"/>
      <c r="D11" s="7"/>
      <c r="E11" s="7"/>
      <c r="F11" s="7"/>
      <c r="G11" s="7"/>
    </row>
    <row r="15" customFormat="false" ht="15" hidden="false" customHeight="true" outlineLevel="0" collapsed="false">
      <c r="B15" s="5" t="s">
        <v>7</v>
      </c>
      <c r="C15" s="6"/>
      <c r="D15" s="6"/>
      <c r="E15" s="6"/>
      <c r="F15" s="6"/>
      <c r="G15" s="6"/>
    </row>
    <row r="16" customFormat="false" ht="15" hidden="false" customHeight="true" outlineLevel="0" collapsed="false">
      <c r="B16" s="8" t="s">
        <v>8</v>
      </c>
      <c r="C16" s="4" t="s">
        <v>9</v>
      </c>
    </row>
    <row r="17" customFormat="false" ht="15" hidden="false" customHeight="true" outlineLevel="0" collapsed="false">
      <c r="B17" s="8" t="s">
        <v>10</v>
      </c>
      <c r="C17" s="4" t="s">
        <v>11</v>
      </c>
    </row>
    <row r="18" customFormat="false" ht="15" hidden="false" customHeight="true" outlineLevel="0" collapsed="false">
      <c r="B18" s="8" t="s">
        <v>12</v>
      </c>
      <c r="C18" s="4" t="s">
        <v>13</v>
      </c>
    </row>
    <row r="19" customFormat="false" ht="15" hidden="false" customHeight="true" outlineLevel="0" collapsed="false">
      <c r="B19" s="8" t="s">
        <v>14</v>
      </c>
      <c r="C19" s="4" t="s">
        <v>15</v>
      </c>
    </row>
    <row r="21" customFormat="false" ht="15" hidden="false" customHeight="true" outlineLevel="0" collapsed="false">
      <c r="B21" s="5" t="s">
        <v>16</v>
      </c>
      <c r="C21" s="6"/>
      <c r="D21" s="6"/>
      <c r="E21" s="6"/>
      <c r="F21" s="6"/>
      <c r="G21" s="6"/>
    </row>
    <row r="22" customFormat="false" ht="15" hidden="false" customHeight="true" outlineLevel="0" collapsed="false">
      <c r="B22" s="4" t="s">
        <v>17</v>
      </c>
    </row>
    <row r="23" customFormat="false" ht="15" hidden="false" customHeight="true" outlineLevel="0" collapsed="false">
      <c r="B23" s="4" t="s">
        <v>18</v>
      </c>
    </row>
  </sheetData>
  <mergeCells count="3">
    <mergeCell ref="B2:F2"/>
    <mergeCell ref="B7:G7"/>
    <mergeCell ref="B11:G11"/>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58"/>
    <col collapsed="false" customWidth="true" hidden="false" outlineLevel="0" max="10" min="3" style="1" width="13"/>
  </cols>
  <sheetData>
    <row r="2" customFormat="false" ht="17.25" hidden="false" customHeight="true" outlineLevel="0" collapsed="false">
      <c r="B2" s="2" t="s">
        <v>19</v>
      </c>
      <c r="C2" s="2"/>
      <c r="D2" s="2"/>
      <c r="E2" s="2"/>
      <c r="F2" s="2"/>
    </row>
    <row r="3" customFormat="false" ht="15" hidden="false" customHeight="true" outlineLevel="0" collapsed="false">
      <c r="B3" s="4" t="s">
        <v>2</v>
      </c>
    </row>
    <row r="5" customFormat="false" ht="15" hidden="false" customHeight="true" outlineLevel="0" collapsed="false">
      <c r="B5" s="5" t="s">
        <v>20</v>
      </c>
      <c r="C5" s="6"/>
      <c r="D5" s="6"/>
      <c r="E5" s="6"/>
      <c r="F5" s="6"/>
      <c r="G5" s="6"/>
    </row>
    <row r="6" customFormat="false" ht="16.5" hidden="false" customHeight="true" outlineLevel="0" collapsed="false">
      <c r="B6" s="9" t="s">
        <v>21</v>
      </c>
      <c r="C6" s="10" t="n">
        <v>34.4</v>
      </c>
      <c r="E6" s="7" t="s">
        <v>22</v>
      </c>
      <c r="F6" s="7"/>
      <c r="G6" s="7"/>
      <c r="H6" s="7"/>
      <c r="I6" s="7"/>
      <c r="J6" s="7"/>
    </row>
    <row r="7" customFormat="false" ht="15" hidden="false" customHeight="true" outlineLevel="0" collapsed="false">
      <c r="B7" s="9" t="s">
        <v>23</v>
      </c>
      <c r="C7" s="11" t="n">
        <v>29.37</v>
      </c>
    </row>
    <row r="8" customFormat="false" ht="16.5" hidden="false" customHeight="true" outlineLevel="0" collapsed="false">
      <c r="B8" s="9" t="s">
        <v>24</v>
      </c>
      <c r="C8" s="12" t="n">
        <v>0.2</v>
      </c>
      <c r="E8" s="7" t="s">
        <v>25</v>
      </c>
      <c r="F8" s="7"/>
      <c r="G8" s="7"/>
      <c r="H8" s="7"/>
      <c r="I8" s="7"/>
      <c r="J8" s="7"/>
    </row>
    <row r="9" customFormat="false" ht="15" hidden="false" customHeight="true" outlineLevel="0" collapsed="false">
      <c r="B9" s="9" t="s">
        <v>26</v>
      </c>
      <c r="C9" s="13" t="n">
        <f aca="false">C6*(1+C8)</f>
        <v>41.28</v>
      </c>
    </row>
    <row r="10" customFormat="false" ht="15" hidden="false" customHeight="true" outlineLevel="0" collapsed="false">
      <c r="B10" s="8" t="s">
        <v>27</v>
      </c>
      <c r="C10" s="14" t="n">
        <f aca="false">C9*C7</f>
        <v>1212.3936</v>
      </c>
    </row>
    <row r="12" customFormat="false" ht="15" hidden="false" customHeight="true" outlineLevel="0" collapsed="false">
      <c r="B12" s="5" t="s">
        <v>28</v>
      </c>
      <c r="C12" s="6"/>
      <c r="D12" s="6"/>
      <c r="E12" s="6"/>
      <c r="F12" s="6"/>
      <c r="G12" s="6"/>
    </row>
    <row r="13" customFormat="false" ht="16.5" hidden="false" customHeight="true" outlineLevel="0" collapsed="false">
      <c r="B13" s="9" t="s">
        <v>29</v>
      </c>
      <c r="C13" s="15" t="n">
        <v>10330</v>
      </c>
      <c r="E13" s="7" t="s">
        <v>30</v>
      </c>
      <c r="F13" s="7"/>
      <c r="G13" s="7"/>
      <c r="H13" s="7"/>
      <c r="I13" s="7"/>
      <c r="J13" s="7"/>
    </row>
    <row r="14" customFormat="false" ht="16.5" hidden="false" customHeight="true" outlineLevel="0" collapsed="false">
      <c r="B14" s="9" t="s">
        <v>31</v>
      </c>
      <c r="C14" s="15" t="n">
        <v>203</v>
      </c>
      <c r="E14" s="7" t="s">
        <v>30</v>
      </c>
      <c r="F14" s="7"/>
      <c r="G14" s="7"/>
      <c r="H14" s="7"/>
      <c r="I14" s="7"/>
      <c r="J14" s="7"/>
    </row>
    <row r="15" customFormat="false" ht="16.5" hidden="false" customHeight="true" outlineLevel="0" collapsed="false">
      <c r="B15" s="9" t="s">
        <v>32</v>
      </c>
      <c r="C15" s="12" t="n">
        <v>0.034</v>
      </c>
      <c r="E15" s="7" t="s">
        <v>33</v>
      </c>
      <c r="F15" s="7"/>
      <c r="G15" s="7"/>
      <c r="H15" s="7"/>
      <c r="I15" s="7"/>
      <c r="J15" s="7"/>
    </row>
    <row r="16" customFormat="false" ht="15" hidden="false" customHeight="true" outlineLevel="0" collapsed="false">
      <c r="B16" s="9" t="s">
        <v>34</v>
      </c>
      <c r="C16" s="16" t="n">
        <f aca="false">C13*C15</f>
        <v>351.22</v>
      </c>
    </row>
    <row r="17" customFormat="false" ht="15" hidden="false" customHeight="true" outlineLevel="0" collapsed="false">
      <c r="B17" s="8" t="s">
        <v>35</v>
      </c>
      <c r="C17" s="14" t="n">
        <f aca="false">C14+C16</f>
        <v>554.22</v>
      </c>
    </row>
    <row r="19" customFormat="false" ht="15" hidden="false" customHeight="true" outlineLevel="0" collapsed="false">
      <c r="B19" s="5" t="s">
        <v>36</v>
      </c>
      <c r="C19" s="6"/>
      <c r="D19" s="6"/>
      <c r="E19" s="6"/>
      <c r="F19" s="6"/>
      <c r="G19" s="6"/>
    </row>
    <row r="20" customFormat="false" ht="16.5" hidden="false" customHeight="true" outlineLevel="0" collapsed="false">
      <c r="B20" s="9" t="s">
        <v>37</v>
      </c>
      <c r="C20" s="15" t="n">
        <v>958</v>
      </c>
      <c r="E20" s="7" t="s">
        <v>38</v>
      </c>
      <c r="F20" s="7"/>
      <c r="G20" s="7"/>
      <c r="H20" s="7"/>
      <c r="I20" s="7"/>
      <c r="J20" s="7"/>
    </row>
    <row r="21" customFormat="false" ht="16.5" hidden="false" customHeight="true" outlineLevel="0" collapsed="false">
      <c r="B21" s="9" t="s">
        <v>39</v>
      </c>
      <c r="C21" s="15" t="n">
        <v>1104</v>
      </c>
      <c r="E21" s="7" t="s">
        <v>40</v>
      </c>
      <c r="F21" s="7"/>
      <c r="G21" s="7"/>
      <c r="H21" s="7"/>
      <c r="I21" s="7"/>
      <c r="J21" s="7"/>
    </row>
    <row r="22" customFormat="false" ht="27.75" hidden="false" customHeight="true" outlineLevel="0" collapsed="false">
      <c r="B22" s="8" t="s">
        <v>41</v>
      </c>
      <c r="C22" s="14" t="n">
        <f aca="false">C20-C21</f>
        <v>-146</v>
      </c>
      <c r="E22" s="7" t="s">
        <v>42</v>
      </c>
      <c r="F22" s="7"/>
      <c r="G22" s="7"/>
      <c r="H22" s="7"/>
      <c r="I22" s="7"/>
      <c r="J22" s="7"/>
    </row>
    <row r="24" customFormat="false" ht="15" hidden="false" customHeight="true" outlineLevel="0" collapsed="false">
      <c r="B24" s="5" t="s">
        <v>43</v>
      </c>
      <c r="C24" s="6"/>
      <c r="D24" s="6"/>
      <c r="E24" s="6"/>
      <c r="F24" s="6"/>
      <c r="G24" s="6"/>
    </row>
    <row r="25" customFormat="false" ht="15" hidden="false" customHeight="true" outlineLevel="0" collapsed="false">
      <c r="B25" s="9" t="s">
        <v>44</v>
      </c>
      <c r="C25" s="16" t="n">
        <f aca="false">C20</f>
        <v>958</v>
      </c>
    </row>
    <row r="26" customFormat="false" ht="15" hidden="false" customHeight="true" outlineLevel="0" collapsed="false">
      <c r="B26" s="9" t="s">
        <v>45</v>
      </c>
      <c r="C26" s="16" t="n">
        <f aca="false">C10+C25</f>
        <v>2170.3936</v>
      </c>
    </row>
    <row r="27" customFormat="false" ht="16.5" hidden="false" customHeight="true" outlineLevel="0" collapsed="false">
      <c r="B27" s="9" t="s">
        <v>46</v>
      </c>
      <c r="C27" s="12" t="n">
        <v>0.02</v>
      </c>
      <c r="E27" s="7" t="s">
        <v>47</v>
      </c>
      <c r="F27" s="7"/>
      <c r="G27" s="7"/>
      <c r="H27" s="7"/>
      <c r="I27" s="7"/>
      <c r="J27" s="7"/>
    </row>
    <row r="28" customFormat="false" ht="15" hidden="false" customHeight="true" outlineLevel="0" collapsed="false">
      <c r="B28" s="9" t="s">
        <v>48</v>
      </c>
      <c r="C28" s="16" t="n">
        <f aca="false">C26*C27</f>
        <v>43.407872</v>
      </c>
    </row>
    <row r="29" customFormat="false" ht="15" hidden="false" customHeight="true" outlineLevel="0" collapsed="false">
      <c r="B29" s="8" t="s">
        <v>49</v>
      </c>
      <c r="C29" s="14" t="n">
        <f aca="false">C26+C28</f>
        <v>2213.801472</v>
      </c>
    </row>
    <row r="31" customFormat="false" ht="15" hidden="false" customHeight="true" outlineLevel="0" collapsed="false">
      <c r="B31" s="5" t="s">
        <v>50</v>
      </c>
      <c r="C31" s="6"/>
      <c r="D31" s="6"/>
      <c r="E31" s="6"/>
      <c r="F31" s="6"/>
      <c r="G31" s="6"/>
    </row>
    <row r="32" customFormat="false" ht="16.5" hidden="false" customHeight="true" outlineLevel="0" collapsed="false">
      <c r="B32" s="9" t="s">
        <v>51</v>
      </c>
      <c r="C32" s="12" t="n">
        <v>0.02</v>
      </c>
      <c r="E32" s="7" t="s">
        <v>52</v>
      </c>
      <c r="F32" s="7"/>
      <c r="G32" s="7"/>
      <c r="H32" s="7"/>
      <c r="I32" s="7"/>
      <c r="J32" s="7"/>
    </row>
    <row r="33" customFormat="false" ht="15" hidden="false" customHeight="true" outlineLevel="0" collapsed="false">
      <c r="B33" s="9" t="s">
        <v>53</v>
      </c>
      <c r="C33" s="16" t="n">
        <f aca="false">C13*C32</f>
        <v>206.6</v>
      </c>
    </row>
    <row r="34" customFormat="false" ht="16.5" hidden="false" customHeight="true" outlineLevel="0" collapsed="false">
      <c r="B34" s="9" t="s">
        <v>54</v>
      </c>
      <c r="C34" s="16" t="n">
        <f aca="false">C21-C33</f>
        <v>897.4</v>
      </c>
      <c r="E34" s="7" t="s">
        <v>55</v>
      </c>
      <c r="F34" s="7"/>
      <c r="G34" s="7"/>
      <c r="H34" s="7"/>
      <c r="I34" s="7"/>
      <c r="J34" s="7"/>
    </row>
    <row r="35" customFormat="false" ht="15" hidden="false" customHeight="true" outlineLevel="0" collapsed="false">
      <c r="B35" s="8" t="s">
        <v>56</v>
      </c>
      <c r="C35" s="14" t="n">
        <f aca="false">C29-C34</f>
        <v>1316.401472</v>
      </c>
    </row>
    <row r="36" customFormat="false" ht="15" hidden="false" customHeight="true" outlineLevel="0" collapsed="false">
      <c r="B36" s="9" t="s">
        <v>57</v>
      </c>
      <c r="C36" s="16" t="n">
        <f aca="false">C10+C22</f>
        <v>1066.3936</v>
      </c>
    </row>
    <row r="37" customFormat="false" ht="15" hidden="false" customHeight="true" outlineLevel="0" collapsed="false">
      <c r="B37" s="9" t="s">
        <v>58</v>
      </c>
      <c r="C37" s="17" t="n">
        <f aca="false">C36/C17</f>
        <v>1.92413409837249</v>
      </c>
    </row>
    <row r="38" customFormat="false" ht="27.75" hidden="false" customHeight="true" outlineLevel="0" collapsed="false">
      <c r="B38" s="9" t="s">
        <v>59</v>
      </c>
      <c r="C38" s="18" t="n">
        <v>1.7</v>
      </c>
      <c r="E38" s="7" t="s">
        <v>60</v>
      </c>
      <c r="F38" s="7"/>
      <c r="G38" s="7"/>
      <c r="H38" s="7"/>
      <c r="I38" s="7"/>
      <c r="J38" s="7"/>
    </row>
    <row r="39" customFormat="false" ht="15" hidden="false" customHeight="true" outlineLevel="0" collapsed="false">
      <c r="B39" s="9" t="s">
        <v>61</v>
      </c>
      <c r="C39" s="16" t="n">
        <f aca="false">C38*C17</f>
        <v>942.174</v>
      </c>
    </row>
    <row r="40" customFormat="false" ht="16.5" hidden="false" customHeight="true" outlineLevel="0" collapsed="false">
      <c r="B40" s="9" t="s">
        <v>62</v>
      </c>
      <c r="C40" s="12" t="n">
        <v>0.065</v>
      </c>
      <c r="E40" s="7" t="s">
        <v>63</v>
      </c>
      <c r="F40" s="7"/>
      <c r="G40" s="7"/>
      <c r="H40" s="7"/>
      <c r="I40" s="7"/>
      <c r="J40" s="7"/>
    </row>
    <row r="41" customFormat="false" ht="15" hidden="false" customHeight="true" outlineLevel="0" collapsed="false">
      <c r="B41" s="8" t="s">
        <v>64</v>
      </c>
      <c r="C41" s="14" t="n">
        <f aca="false">C35-C39</f>
        <v>374.227472</v>
      </c>
    </row>
    <row r="42" customFormat="false" ht="15" hidden="false" customHeight="true" outlineLevel="0" collapsed="false">
      <c r="B42" s="9" t="s">
        <v>65</v>
      </c>
      <c r="C42" s="19" t="n">
        <f aca="false">C41/C35</f>
        <v>0.284280654465874</v>
      </c>
    </row>
    <row r="43" customFormat="false" ht="15" hidden="false" customHeight="true" outlineLevel="0" collapsed="false">
      <c r="B43" s="9" t="s">
        <v>66</v>
      </c>
      <c r="C43" s="16" t="n">
        <f aca="false">C34+C39+C41</f>
        <v>2213.801472</v>
      </c>
    </row>
    <row r="45" customFormat="false" ht="15" hidden="false" customHeight="true" outlineLevel="0" collapsed="false">
      <c r="B45" s="5" t="s">
        <v>67</v>
      </c>
      <c r="C45" s="6"/>
      <c r="D45" s="6"/>
      <c r="E45" s="6"/>
      <c r="F45" s="6"/>
      <c r="G45" s="6"/>
    </row>
    <row r="46" customFormat="false" ht="15" hidden="false" customHeight="true" outlineLevel="0" collapsed="false">
      <c r="B46" s="9" t="s">
        <v>68</v>
      </c>
      <c r="C46" s="12" t="n">
        <v>0.03</v>
      </c>
    </row>
    <row r="47" customFormat="false" ht="15" hidden="false" customHeight="true" outlineLevel="0" collapsed="false">
      <c r="B47" s="9" t="s">
        <v>69</v>
      </c>
      <c r="C47" s="12" t="n">
        <v>0.02</v>
      </c>
    </row>
    <row r="48" customFormat="false" ht="15" hidden="false" customHeight="true" outlineLevel="0" collapsed="false">
      <c r="B48" s="9" t="s">
        <v>70</v>
      </c>
      <c r="C48" s="12" t="n">
        <v>0.025</v>
      </c>
    </row>
    <row r="49" customFormat="false" ht="15" hidden="false" customHeight="true" outlineLevel="0" collapsed="false">
      <c r="B49" s="9" t="s">
        <v>71</v>
      </c>
      <c r="C49" s="12" t="n">
        <v>0.04</v>
      </c>
    </row>
    <row r="50" customFormat="false" ht="15" hidden="false" customHeight="true" outlineLevel="0" collapsed="false">
      <c r="B50" s="9" t="s">
        <v>72</v>
      </c>
      <c r="C50" s="12" t="n">
        <v>0.25</v>
      </c>
    </row>
    <row r="51" customFormat="false" ht="16.5" hidden="false" customHeight="true" outlineLevel="0" collapsed="false">
      <c r="B51" s="9" t="s">
        <v>73</v>
      </c>
      <c r="C51" s="17" t="n">
        <f aca="false">C37</f>
        <v>1.92413409837249</v>
      </c>
      <c r="E51" s="7" t="s">
        <v>74</v>
      </c>
      <c r="F51" s="7"/>
      <c r="G51" s="7"/>
      <c r="H51" s="7"/>
      <c r="I51" s="7"/>
      <c r="J51" s="7"/>
    </row>
    <row r="53" customFormat="false" ht="15" hidden="false" customHeight="true" outlineLevel="0" collapsed="false">
      <c r="B53" s="5" t="s">
        <v>75</v>
      </c>
      <c r="C53" s="6"/>
      <c r="D53" s="6"/>
      <c r="E53" s="6"/>
      <c r="F53" s="6"/>
      <c r="G53" s="6"/>
      <c r="H53" s="6"/>
      <c r="I53" s="6"/>
      <c r="J53" s="6"/>
    </row>
    <row r="54" customFormat="false" ht="39.75" hidden="false" customHeight="true" outlineLevel="0" collapsed="false">
      <c r="B54" s="9" t="s">
        <v>76</v>
      </c>
      <c r="C54" s="12" t="n">
        <v>0.01</v>
      </c>
      <c r="E54" s="7" t="s">
        <v>77</v>
      </c>
      <c r="F54" s="7"/>
      <c r="G54" s="7"/>
      <c r="H54" s="7"/>
      <c r="I54" s="7"/>
      <c r="J54" s="7"/>
    </row>
    <row r="55" customFormat="false" ht="39.75" hidden="false" customHeight="true" outlineLevel="0" collapsed="false">
      <c r="B55" s="9" t="s">
        <v>78</v>
      </c>
      <c r="C55" s="18" t="n">
        <v>2</v>
      </c>
      <c r="E55" s="7" t="s">
        <v>79</v>
      </c>
      <c r="F55" s="7"/>
      <c r="G55" s="7"/>
      <c r="H55" s="7"/>
      <c r="I55" s="7"/>
      <c r="J55" s="7"/>
    </row>
    <row r="56" customFormat="false" ht="39.75" hidden="false" customHeight="true" outlineLevel="0" collapsed="false">
      <c r="B56" s="9" t="s">
        <v>80</v>
      </c>
      <c r="C56" s="18" t="n">
        <v>5</v>
      </c>
      <c r="E56" s="7" t="s">
        <v>81</v>
      </c>
      <c r="F56" s="7"/>
      <c r="G56" s="7"/>
      <c r="H56" s="7"/>
      <c r="I56" s="7"/>
      <c r="J56" s="7"/>
    </row>
  </sheetData>
  <mergeCells count="18">
    <mergeCell ref="B2:F2"/>
    <mergeCell ref="E6:J6"/>
    <mergeCell ref="E8:J8"/>
    <mergeCell ref="E13:J13"/>
    <mergeCell ref="E14:J14"/>
    <mergeCell ref="E15:J15"/>
    <mergeCell ref="E20:J20"/>
    <mergeCell ref="E21:J21"/>
    <mergeCell ref="E22:J22"/>
    <mergeCell ref="E27:J27"/>
    <mergeCell ref="E32:J32"/>
    <mergeCell ref="E34:J34"/>
    <mergeCell ref="E38:J38"/>
    <mergeCell ref="E40:J40"/>
    <mergeCell ref="E51:J51"/>
    <mergeCell ref="E54:J54"/>
    <mergeCell ref="E55:J55"/>
    <mergeCell ref="E56:J56"/>
  </mergeCells>
  <printOptions headings="false" gridLines="false" gridLinesSet="true" horizontalCentered="false" verticalCentered="false"/>
  <pageMargins left="0.25" right="0.25"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2" style="1" width="58"/>
    <col collapsed="false" customWidth="true" hidden="false" outlineLevel="0" max="7" min="3" style="1" width="13"/>
  </cols>
  <sheetData>
    <row r="2" customFormat="false" ht="17.25" hidden="false" customHeight="true" outlineLevel="0" collapsed="false">
      <c r="B2" s="2" t="s">
        <v>82</v>
      </c>
      <c r="C2" s="2"/>
      <c r="D2" s="2"/>
      <c r="E2" s="2"/>
      <c r="F2" s="2"/>
    </row>
    <row r="3" customFormat="false" ht="15" hidden="false" customHeight="true" outlineLevel="0" collapsed="false">
      <c r="B3" s="4" t="s">
        <v>2</v>
      </c>
    </row>
    <row r="5" customFormat="false" ht="15" hidden="false" customHeight="true" outlineLevel="0" collapsed="false">
      <c r="C5" s="20" t="s">
        <v>83</v>
      </c>
      <c r="D5" s="20" t="s">
        <v>84</v>
      </c>
      <c r="E5" s="20" t="s">
        <v>85</v>
      </c>
      <c r="F5" s="20" t="s">
        <v>86</v>
      </c>
      <c r="G5" s="20" t="s">
        <v>87</v>
      </c>
    </row>
    <row r="6" customFormat="false" ht="15" hidden="false" customHeight="true" outlineLevel="0" collapsed="false">
      <c r="B6" s="9" t="s">
        <v>88</v>
      </c>
      <c r="C6" s="16" t="n">
        <f aca="false">Assumptions!$C$13*(1+Assumptions!$C$47)</f>
        <v>10536.6</v>
      </c>
      <c r="D6" s="16" t="n">
        <f aca="false">C6*(1+Assumptions!$C$47)</f>
        <v>10747.332</v>
      </c>
      <c r="E6" s="16" t="n">
        <f aca="false">D6*(1+Assumptions!$C$47)</f>
        <v>10962.27864</v>
      </c>
      <c r="F6" s="16" t="n">
        <f aca="false">E6*(1+Assumptions!$C$47)</f>
        <v>11181.5242128</v>
      </c>
      <c r="G6" s="16" t="n">
        <f aca="false">F6*(1+Assumptions!$C$47)</f>
        <v>11405.154697056</v>
      </c>
    </row>
    <row r="7" customFormat="false" ht="15" hidden="false" customHeight="true" outlineLevel="0" collapsed="false">
      <c r="B7" s="9" t="s">
        <v>89</v>
      </c>
      <c r="C7" s="16" t="n">
        <f aca="false">Assumptions!$C$17*(1+Assumptions!$C$46)</f>
        <v>570.8466</v>
      </c>
      <c r="D7" s="16" t="n">
        <f aca="false">C7*(1+Assumptions!$C$46)</f>
        <v>587.971998</v>
      </c>
      <c r="E7" s="16" t="n">
        <f aca="false">D7*(1+Assumptions!$C$46)</f>
        <v>605.61115794</v>
      </c>
      <c r="F7" s="16" t="n">
        <f aca="false">E7*(1+Assumptions!$C$46)</f>
        <v>623.7794926782</v>
      </c>
      <c r="G7" s="16" t="n">
        <f aca="false">F7*(1+Assumptions!$C$46)</f>
        <v>642.492877458546</v>
      </c>
    </row>
    <row r="8" customFormat="false" ht="15" hidden="false" customHeight="true" outlineLevel="0" collapsed="false">
      <c r="B8" s="9" t="s">
        <v>90</v>
      </c>
      <c r="C8" s="16" t="n">
        <f aca="false">C6*Assumptions!$C$15</f>
        <v>358.2444</v>
      </c>
      <c r="D8" s="16" t="n">
        <f aca="false">D6*Assumptions!$C$15</f>
        <v>365.409288</v>
      </c>
      <c r="E8" s="16" t="n">
        <f aca="false">E6*Assumptions!$C$15</f>
        <v>372.71747376</v>
      </c>
      <c r="F8" s="16" t="n">
        <f aca="false">F6*Assumptions!$C$15</f>
        <v>380.1718232352</v>
      </c>
      <c r="G8" s="16" t="n">
        <f aca="false">G6*Assumptions!$C$15</f>
        <v>387.775259699904</v>
      </c>
    </row>
    <row r="9" customFormat="false" ht="15" hidden="false" customHeight="true" outlineLevel="0" collapsed="false">
      <c r="B9" s="9" t="s">
        <v>91</v>
      </c>
      <c r="C9" s="16" t="n">
        <f aca="false">C7-C8</f>
        <v>212.6022</v>
      </c>
      <c r="D9" s="16" t="n">
        <f aca="false">D7-D8</f>
        <v>222.56271</v>
      </c>
      <c r="E9" s="16" t="n">
        <f aca="false">E7-E8</f>
        <v>232.89368418</v>
      </c>
      <c r="F9" s="16" t="n">
        <f aca="false">F7-F8</f>
        <v>243.607669443</v>
      </c>
      <c r="G9" s="16" t="n">
        <f aca="false">G7-G8</f>
        <v>254.717617758642</v>
      </c>
    </row>
    <row r="10" customFormat="false" ht="15" hidden="false" customHeight="true" outlineLevel="0" collapsed="false">
      <c r="B10" s="9" t="s">
        <v>92</v>
      </c>
      <c r="C10" s="16" t="n">
        <f aca="false">Assumptions!$C$39</f>
        <v>942.174</v>
      </c>
      <c r="D10" s="16" t="n">
        <f aca="false">C18</f>
        <v>680.8466225</v>
      </c>
      <c r="E10" s="16" t="n">
        <f aca="false">D18</f>
        <v>414.564124384375</v>
      </c>
      <c r="F10" s="16" t="n">
        <f aca="false">E18</f>
        <v>143.094552068129</v>
      </c>
      <c r="G10" s="16" t="n">
        <f aca="false">F18</f>
        <v>0</v>
      </c>
    </row>
    <row r="11" customFormat="false" ht="15" hidden="false" customHeight="true" outlineLevel="0" collapsed="false">
      <c r="B11" s="9" t="s">
        <v>93</v>
      </c>
      <c r="C11" s="16" t="n">
        <f aca="false">C10*Assumptions!$C$40</f>
        <v>61.24131</v>
      </c>
      <c r="D11" s="16" t="n">
        <f aca="false">D10*Assumptions!$C$40</f>
        <v>44.2550304625</v>
      </c>
      <c r="E11" s="16" t="n">
        <f aca="false">E10*Assumptions!$C$40</f>
        <v>26.9466680849844</v>
      </c>
      <c r="F11" s="16" t="n">
        <f aca="false">F10*Assumptions!$C$40</f>
        <v>9.30114588442837</v>
      </c>
      <c r="G11" s="16" t="n">
        <f aca="false">G10*Assumptions!$C$40</f>
        <v>0</v>
      </c>
    </row>
    <row r="12" customFormat="false" ht="15" hidden="false" customHeight="true" outlineLevel="0" collapsed="false">
      <c r="B12" s="9" t="s">
        <v>94</v>
      </c>
      <c r="C12" s="16" t="n">
        <f aca="false">C9-C11</f>
        <v>151.36089</v>
      </c>
      <c r="D12" s="16" t="n">
        <f aca="false">D9-D11</f>
        <v>178.3076795375</v>
      </c>
      <c r="E12" s="16" t="n">
        <f aca="false">E9-E11</f>
        <v>205.947016095016</v>
      </c>
      <c r="F12" s="16" t="n">
        <f aca="false">F9-F11</f>
        <v>234.306523558572</v>
      </c>
      <c r="G12" s="16" t="n">
        <f aca="false">G9-G11</f>
        <v>254.717617758642</v>
      </c>
    </row>
    <row r="13" customFormat="false" ht="15" hidden="false" customHeight="true" outlineLevel="0" collapsed="false">
      <c r="B13" s="9" t="s">
        <v>95</v>
      </c>
      <c r="C13" s="16" t="n">
        <f aca="false">MAX(C12,0)*Assumptions!$C$50</f>
        <v>37.8402225</v>
      </c>
      <c r="D13" s="16" t="n">
        <f aca="false">MAX(D12,0)*Assumptions!$C$50</f>
        <v>44.576919884375</v>
      </c>
      <c r="E13" s="16" t="n">
        <f aca="false">MAX(E12,0)*Assumptions!$C$50</f>
        <v>51.4867540237539</v>
      </c>
      <c r="F13" s="16" t="n">
        <f aca="false">MAX(F12,0)*Assumptions!$C$50</f>
        <v>58.5766308896429</v>
      </c>
      <c r="G13" s="16" t="n">
        <f aca="false">MAX(G12,0)*Assumptions!$C$50</f>
        <v>63.6794044396605</v>
      </c>
    </row>
    <row r="14" customFormat="false" ht="15" hidden="false" customHeight="true" outlineLevel="0" collapsed="false">
      <c r="B14" s="9" t="s">
        <v>96</v>
      </c>
      <c r="C14" s="16" t="n">
        <f aca="false">C6*Assumptions!$C$48</f>
        <v>263.415</v>
      </c>
      <c r="D14" s="16" t="n">
        <f aca="false">D6*Assumptions!$C$48</f>
        <v>268.6833</v>
      </c>
      <c r="E14" s="16" t="n">
        <f aca="false">E6*Assumptions!$C$48</f>
        <v>274.056966</v>
      </c>
      <c r="F14" s="16" t="n">
        <f aca="false">F6*Assumptions!$C$48</f>
        <v>279.53810532</v>
      </c>
      <c r="G14" s="16" t="n">
        <f aca="false">G6*Assumptions!$C$48</f>
        <v>285.1288674264</v>
      </c>
    </row>
    <row r="15" customFormat="false" ht="15" hidden="false" customHeight="true" outlineLevel="0" collapsed="false">
      <c r="B15" s="9" t="s">
        <v>97</v>
      </c>
      <c r="C15" s="16" t="n">
        <f aca="false">-(C6-Assumptions!$C$13)*Assumptions!$C$49</f>
        <v>-8.26400000000002</v>
      </c>
      <c r="D15" s="16" t="n">
        <f aca="false">-(D6-C6)*Assumptions!$C$49</f>
        <v>-8.42928</v>
      </c>
      <c r="E15" s="16" t="n">
        <f aca="false">-(E6-D6)*Assumptions!$C$49</f>
        <v>-8.5978656</v>
      </c>
      <c r="F15" s="16" t="n">
        <f aca="false">-(F6-E6)*Assumptions!$C$49</f>
        <v>-8.76982291200002</v>
      </c>
      <c r="G15" s="16" t="n">
        <f aca="false">-(G6-F6)*Assumptions!$C$49</f>
        <v>-8.94521937024001</v>
      </c>
    </row>
    <row r="16" customFormat="false" ht="15" hidden="false" customHeight="true" outlineLevel="0" collapsed="false">
      <c r="B16" s="8" t="s">
        <v>98</v>
      </c>
      <c r="C16" s="14" t="n">
        <f aca="false">C7-C13-C14+C15</f>
        <v>261.3273775</v>
      </c>
      <c r="D16" s="14" t="n">
        <f aca="false">D7-D13-D14+D15</f>
        <v>266.282498115625</v>
      </c>
      <c r="E16" s="14" t="n">
        <f aca="false">E7-E13-E14+E15</f>
        <v>271.469572316246</v>
      </c>
      <c r="F16" s="14" t="n">
        <f aca="false">F7-F13-F14+F15</f>
        <v>276.894933556557</v>
      </c>
      <c r="G16" s="14" t="n">
        <f aca="false">G7-G13-G14+G15</f>
        <v>284.739386222246</v>
      </c>
    </row>
    <row r="17" customFormat="false" ht="15" hidden="false" customHeight="true" outlineLevel="0" collapsed="false">
      <c r="B17" s="9" t="s">
        <v>99</v>
      </c>
      <c r="C17" s="16" t="n">
        <f aca="false">MIN(MAX(C16,0),C10)</f>
        <v>261.3273775</v>
      </c>
      <c r="D17" s="16" t="n">
        <f aca="false">MIN(MAX(D16,0),D10)</f>
        <v>266.282498115625</v>
      </c>
      <c r="E17" s="16" t="n">
        <f aca="false">MIN(MAX(E16,0),E10)</f>
        <v>271.469572316246</v>
      </c>
      <c r="F17" s="16" t="n">
        <f aca="false">MIN(MAX(F16,0),F10)</f>
        <v>143.094552068129</v>
      </c>
      <c r="G17" s="16" t="n">
        <f aca="false">MIN(MAX(G16,0),G10)</f>
        <v>0</v>
      </c>
    </row>
    <row r="18" customFormat="false" ht="15" hidden="false" customHeight="true" outlineLevel="0" collapsed="false">
      <c r="B18" s="9" t="s">
        <v>100</v>
      </c>
      <c r="C18" s="16" t="n">
        <f aca="false">C10-C17</f>
        <v>680.8466225</v>
      </c>
      <c r="D18" s="16" t="n">
        <f aca="false">D10-D17</f>
        <v>414.564124384375</v>
      </c>
      <c r="E18" s="16" t="n">
        <f aca="false">E10-E17</f>
        <v>143.094552068129</v>
      </c>
      <c r="F18" s="16" t="n">
        <f aca="false">F10-F17</f>
        <v>0</v>
      </c>
      <c r="G18" s="16" t="n">
        <f aca="false">G10-G17</f>
        <v>0</v>
      </c>
    </row>
    <row r="20" customFormat="false" ht="15" hidden="false" customHeight="true" outlineLevel="0" collapsed="false">
      <c r="B20" s="9" t="s">
        <v>101</v>
      </c>
      <c r="C20" s="16" t="n">
        <f aca="false">C16-C17</f>
        <v>0</v>
      </c>
      <c r="D20" s="16" t="n">
        <f aca="false">D16-D17</f>
        <v>0</v>
      </c>
      <c r="E20" s="16" t="n">
        <f aca="false">E16-E17</f>
        <v>0</v>
      </c>
      <c r="F20" s="16" t="n">
        <f aca="false">F16-F17</f>
        <v>133.800381488428</v>
      </c>
      <c r="G20" s="16" t="n">
        <f aca="false">G16-G17</f>
        <v>284.739386222246</v>
      </c>
    </row>
    <row r="21" customFormat="false" ht="15" hidden="false" customHeight="true" outlineLevel="0" collapsed="false">
      <c r="B21" s="8" t="s">
        <v>102</v>
      </c>
      <c r="C21" s="14" t="n">
        <f aca="false">C20</f>
        <v>0</v>
      </c>
      <c r="D21" s="14" t="n">
        <f aca="false">C21+D20</f>
        <v>0</v>
      </c>
      <c r="E21" s="14" t="n">
        <f aca="false">D21+E20</f>
        <v>0</v>
      </c>
      <c r="F21" s="14" t="n">
        <f aca="false">E21+F20</f>
        <v>133.800381488428</v>
      </c>
      <c r="G21" s="14" t="n">
        <f aca="false">F21+G20</f>
        <v>418.539767710674</v>
      </c>
    </row>
    <row r="23" customFormat="false" ht="27.75" hidden="false" customHeight="true" outlineLevel="0" collapsed="false">
      <c r="B23" s="7" t="s">
        <v>103</v>
      </c>
      <c r="C23" s="7"/>
      <c r="D23" s="7"/>
      <c r="E23" s="7"/>
      <c r="F23" s="7"/>
      <c r="G23" s="7"/>
    </row>
    <row r="25" customFormat="false" ht="17.25" hidden="false" customHeight="true" outlineLevel="0" collapsed="false">
      <c r="B25" s="2" t="s">
        <v>104</v>
      </c>
      <c r="C25" s="2"/>
      <c r="D25" s="2"/>
      <c r="E25" s="2"/>
      <c r="F25" s="2"/>
      <c r="G25" s="2"/>
    </row>
    <row r="26" customFormat="false" ht="15" hidden="false" customHeight="true" outlineLevel="0" collapsed="false">
      <c r="B26" s="9" t="s">
        <v>105</v>
      </c>
      <c r="C26" s="16" t="n">
        <f aca="false">MIN(Assumptions!$C$54*Assumptions!$C$39,C17)</f>
        <v>9.42174</v>
      </c>
      <c r="D26" s="16" t="n">
        <f aca="false">MIN(Assumptions!$C$54*Assumptions!$C$39,D17)</f>
        <v>9.42174</v>
      </c>
      <c r="E26" s="16" t="n">
        <f aca="false">MIN(Assumptions!$C$54*Assumptions!$C$39,E17)</f>
        <v>9.42174</v>
      </c>
      <c r="F26" s="16" t="n">
        <f aca="false">MIN(Assumptions!$C$54*Assumptions!$C$39,F17)</f>
        <v>9.42174</v>
      </c>
      <c r="G26" s="16" t="n">
        <f aca="false">MIN(Assumptions!$C$54*Assumptions!$C$39,G17)</f>
        <v>0</v>
      </c>
    </row>
    <row r="27" customFormat="false" ht="15" hidden="false" customHeight="true" outlineLevel="0" collapsed="false">
      <c r="B27" s="9" t="s">
        <v>106</v>
      </c>
      <c r="C27" s="16" t="n">
        <f aca="false">C17-C26</f>
        <v>251.9056375</v>
      </c>
      <c r="D27" s="16" t="n">
        <f aca="false">D17-D26</f>
        <v>256.860758115625</v>
      </c>
      <c r="E27" s="16" t="n">
        <f aca="false">E17-E26</f>
        <v>262.047832316246</v>
      </c>
      <c r="F27" s="16" t="n">
        <f aca="false">F17-F26</f>
        <v>133.672812068129</v>
      </c>
      <c r="G27" s="16" t="n">
        <f aca="false">G17-G26</f>
        <v>0</v>
      </c>
    </row>
    <row r="28" customFormat="false" ht="39.75" hidden="false" customHeight="true" outlineLevel="0" collapsed="false">
      <c r="B28" s="7" t="s">
        <v>107</v>
      </c>
      <c r="C28" s="7"/>
      <c r="D28" s="7"/>
      <c r="E28" s="7"/>
      <c r="F28" s="7"/>
      <c r="G28" s="7"/>
    </row>
    <row r="29" customFormat="false" ht="15" hidden="false" customHeight="true" outlineLevel="0" collapsed="false">
      <c r="B29" s="8" t="s">
        <v>108</v>
      </c>
      <c r="C29" s="14" t="n">
        <f aca="false">IFERROR(C7/C11,0)</f>
        <v>9.32126696832579</v>
      </c>
      <c r="D29" s="14" t="n">
        <f aca="false">IFERROR(D7/D11,0)</f>
        <v>13.2859923912655</v>
      </c>
      <c r="E29" s="14" t="n">
        <f aca="false">IFERROR(E7/E11,0)</f>
        <v>22.4744356530471</v>
      </c>
      <c r="F29" s="14" t="n">
        <f aca="false">IFERROR(F7/F11,0)</f>
        <v>67.0648004481371</v>
      </c>
      <c r="G29" s="14" t="n">
        <f aca="false">IFERROR(G7/G11,0)</f>
        <v>0</v>
      </c>
    </row>
    <row r="30" customFormat="false" ht="39.75" hidden="false" customHeight="true" outlineLevel="0" collapsed="false">
      <c r="B30" s="7" t="s">
        <v>109</v>
      </c>
      <c r="C30" s="7"/>
      <c r="D30" s="7"/>
      <c r="E30" s="7"/>
      <c r="F30" s="7"/>
      <c r="G30" s="7"/>
    </row>
  </sheetData>
  <mergeCells count="5">
    <mergeCell ref="B2:F2"/>
    <mergeCell ref="B23:G23"/>
    <mergeCell ref="B25:G25"/>
    <mergeCell ref="B28:G28"/>
    <mergeCell ref="B30:G30"/>
  </mergeCells>
  <printOptions headings="false" gridLines="false" gridLinesSet="true" horizontalCentered="false" verticalCentered="false"/>
  <pageMargins left="0.25" right="0.25"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58"/>
    <col collapsed="false" customWidth="true" hidden="false" outlineLevel="0" max="3" min="3" style="1" width="15"/>
    <col collapsed="false" customWidth="true" hidden="false" outlineLevel="0" max="7" min="4" style="1" width="13"/>
  </cols>
  <sheetData>
    <row r="2" customFormat="false" ht="17.25" hidden="false" customHeight="true" outlineLevel="0" collapsed="false">
      <c r="B2" s="2" t="s">
        <v>110</v>
      </c>
      <c r="C2" s="2"/>
      <c r="D2" s="2"/>
      <c r="E2" s="2"/>
      <c r="F2" s="2"/>
    </row>
    <row r="3" customFormat="false" ht="15" hidden="false" customHeight="true" outlineLevel="0" collapsed="false">
      <c r="B3" s="4" t="s">
        <v>2</v>
      </c>
    </row>
    <row r="5" customFormat="false" ht="15" hidden="false" customHeight="true" outlineLevel="0" collapsed="false">
      <c r="B5" s="5" t="s">
        <v>111</v>
      </c>
      <c r="C5" s="6"/>
      <c r="D5" s="6"/>
      <c r="E5" s="6"/>
      <c r="F5" s="6"/>
      <c r="G5" s="6"/>
    </row>
    <row r="6" customFormat="false" ht="15" hidden="false" customHeight="true" outlineLevel="0" collapsed="false">
      <c r="B6" s="9" t="s">
        <v>112</v>
      </c>
      <c r="C6" s="21" t="n">
        <f aca="false">'Debt Schedule'!G7</f>
        <v>642.492877458546</v>
      </c>
    </row>
    <row r="7" customFormat="false" ht="15" hidden="false" customHeight="true" outlineLevel="0" collapsed="false">
      <c r="B7" s="9" t="s">
        <v>113</v>
      </c>
      <c r="C7" s="22" t="n">
        <f aca="false">Assumptions!C51</f>
        <v>1.92413409837249</v>
      </c>
    </row>
    <row r="8" customFormat="false" ht="15" hidden="false" customHeight="true" outlineLevel="0" collapsed="false">
      <c r="B8" s="9" t="s">
        <v>114</v>
      </c>
      <c r="C8" s="16" t="n">
        <f aca="false">C6*C7</f>
        <v>1236.24245347944</v>
      </c>
    </row>
    <row r="9" customFormat="false" ht="15" hidden="false" customHeight="true" outlineLevel="0" collapsed="false">
      <c r="B9" s="9" t="s">
        <v>115</v>
      </c>
      <c r="C9" s="21" t="n">
        <f aca="false">'Debt Schedule'!G18</f>
        <v>0</v>
      </c>
    </row>
    <row r="10" customFormat="false" ht="15" hidden="false" customHeight="true" outlineLevel="0" collapsed="false">
      <c r="B10" s="9" t="s">
        <v>116</v>
      </c>
      <c r="C10" s="21" t="n">
        <f aca="false">Assumptions!C33</f>
        <v>206.6</v>
      </c>
    </row>
    <row r="11" customFormat="false" ht="15" hidden="false" customHeight="true" outlineLevel="0" collapsed="false">
      <c r="B11" s="9" t="s">
        <v>117</v>
      </c>
      <c r="C11" s="21" t="n">
        <f aca="false">'Debt Schedule'!G21</f>
        <v>418.539767710674</v>
      </c>
    </row>
    <row r="12" customFormat="false" ht="15" hidden="false" customHeight="true" outlineLevel="0" collapsed="false">
      <c r="B12" s="8" t="s">
        <v>118</v>
      </c>
      <c r="C12" s="14" t="n">
        <f aca="false">C8-C9+C10+C11</f>
        <v>1861.38222119012</v>
      </c>
    </row>
    <row r="14" customFormat="false" ht="15" hidden="false" customHeight="true" outlineLevel="0" collapsed="false">
      <c r="B14" s="5" t="s">
        <v>119</v>
      </c>
      <c r="C14" s="6"/>
      <c r="D14" s="6"/>
      <c r="E14" s="6"/>
      <c r="F14" s="6"/>
      <c r="G14" s="6"/>
    </row>
    <row r="15" customFormat="false" ht="15" hidden="false" customHeight="true" outlineLevel="0" collapsed="false">
      <c r="B15" s="9" t="s">
        <v>120</v>
      </c>
      <c r="C15" s="21" t="n">
        <f aca="false">Assumptions!C41</f>
        <v>374.227472</v>
      </c>
    </row>
    <row r="16" customFormat="false" ht="15" hidden="false" customHeight="true" outlineLevel="0" collapsed="false">
      <c r="B16" s="9" t="s">
        <v>121</v>
      </c>
      <c r="C16" s="16" t="n">
        <f aca="false">C12</f>
        <v>1861.38222119012</v>
      </c>
    </row>
    <row r="17" customFormat="false" ht="15" hidden="false" customHeight="true" outlineLevel="0" collapsed="false">
      <c r="B17" s="8" t="s">
        <v>122</v>
      </c>
      <c r="C17" s="23" t="n">
        <f aca="false">C16/C15</f>
        <v>4.97393259570777</v>
      </c>
    </row>
    <row r="18" customFormat="false" ht="15" hidden="false" customHeight="true" outlineLevel="0" collapsed="false">
      <c r="B18" s="9" t="s">
        <v>123</v>
      </c>
      <c r="C18" s="11" t="n">
        <v>5</v>
      </c>
    </row>
    <row r="19" customFormat="false" ht="15" hidden="false" customHeight="true" outlineLevel="0" collapsed="false">
      <c r="B19" s="8" t="s">
        <v>124</v>
      </c>
      <c r="C19" s="24" t="n">
        <f aca="false">C17^(1/C18)-1</f>
        <v>0.378288013079784</v>
      </c>
    </row>
    <row r="21" customFormat="false" ht="15" hidden="false" customHeight="true" outlineLevel="0" collapsed="false">
      <c r="B21" s="5" t="s">
        <v>125</v>
      </c>
      <c r="C21" s="6"/>
      <c r="D21" s="6"/>
      <c r="E21" s="6"/>
      <c r="F21" s="6"/>
      <c r="G21" s="6"/>
    </row>
    <row r="22" customFormat="false" ht="15" hidden="false" customHeight="true" outlineLevel="0" collapsed="false">
      <c r="B22" s="9" t="s">
        <v>126</v>
      </c>
      <c r="C22" s="21" t="n">
        <f aca="false">Assumptions!C33</f>
        <v>206.6</v>
      </c>
    </row>
    <row r="23" customFormat="false" ht="15" hidden="false" customHeight="true" outlineLevel="0" collapsed="false">
      <c r="B23" s="9" t="s">
        <v>127</v>
      </c>
      <c r="C23" s="16" t="n">
        <f aca="false">Assumptions!C39-C22</f>
        <v>735.574</v>
      </c>
    </row>
    <row r="24" customFormat="false" ht="15" hidden="false" customHeight="true" outlineLevel="0" collapsed="false">
      <c r="B24" s="9" t="s">
        <v>128</v>
      </c>
      <c r="C24" s="16" t="n">
        <f aca="false">C9-(C10+C11)</f>
        <v>-625.139767710674</v>
      </c>
    </row>
    <row r="25" customFormat="false" ht="15" hidden="false" customHeight="true" outlineLevel="0" collapsed="false">
      <c r="B25" s="9" t="s">
        <v>129</v>
      </c>
      <c r="C25" s="16" t="n">
        <f aca="false">(C6-Assumptions!C17)*Assumptions!C37</f>
        <v>169.848853479445</v>
      </c>
    </row>
    <row r="26" customFormat="false" ht="15" hidden="false" customHeight="true" outlineLevel="0" collapsed="false">
      <c r="B26" s="9" t="s">
        <v>130</v>
      </c>
      <c r="C26" s="16" t="n">
        <f aca="false">C6*(C7-Assumptions!C37)</f>
        <v>0</v>
      </c>
    </row>
    <row r="27" customFormat="false" ht="15" hidden="false" customHeight="true" outlineLevel="0" collapsed="false">
      <c r="B27" s="9" t="s">
        <v>131</v>
      </c>
      <c r="C27" s="16" t="n">
        <f aca="false">C23-C24</f>
        <v>1360.71376771067</v>
      </c>
    </row>
    <row r="28" customFormat="false" ht="15" hidden="false" customHeight="true" outlineLevel="0" collapsed="false">
      <c r="B28" s="9" t="s">
        <v>132</v>
      </c>
      <c r="C28" s="21" t="n">
        <f aca="false">-Assumptions!C28</f>
        <v>-43.407872</v>
      </c>
    </row>
    <row r="29" customFormat="false" ht="15" hidden="false" customHeight="true" outlineLevel="0" collapsed="false">
      <c r="B29" s="8" t="s">
        <v>133</v>
      </c>
      <c r="C29" s="14" t="n">
        <f aca="false">SUM(C25:C28)</f>
        <v>1487.15474919012</v>
      </c>
    </row>
    <row r="30" customFormat="false" ht="15" hidden="false" customHeight="true" outlineLevel="0" collapsed="false">
      <c r="B30" s="9" t="s">
        <v>134</v>
      </c>
      <c r="C30" s="16" t="n">
        <f aca="false">C16-C15</f>
        <v>1487.15474919012</v>
      </c>
    </row>
    <row r="32" customFormat="false" ht="27.75" hidden="false" customHeight="true" outlineLevel="0" collapsed="false">
      <c r="B32" s="7" t="s">
        <v>135</v>
      </c>
      <c r="C32" s="7"/>
      <c r="D32" s="7"/>
      <c r="E32" s="7"/>
      <c r="F32" s="7"/>
      <c r="G32" s="7"/>
    </row>
    <row r="34" customFormat="false" ht="15" hidden="false" customHeight="true" outlineLevel="0" collapsed="false">
      <c r="B34" s="25" t="s">
        <v>136</v>
      </c>
      <c r="C34" s="25"/>
      <c r="D34" s="25"/>
      <c r="E34" s="25"/>
      <c r="F34" s="25"/>
      <c r="G34" s="25"/>
    </row>
    <row r="35" customFormat="false" ht="45" hidden="false" customHeight="true" outlineLevel="0" collapsed="false">
      <c r="B35" s="7" t="s">
        <v>137</v>
      </c>
      <c r="C35" s="7"/>
      <c r="D35" s="7"/>
      <c r="E35" s="7"/>
      <c r="F35" s="7"/>
      <c r="G35" s="7"/>
    </row>
    <row r="36" customFormat="false" ht="15" hidden="false" customHeight="true" outlineLevel="0" collapsed="false">
      <c r="B36" s="7"/>
      <c r="C36" s="7"/>
      <c r="D36" s="7"/>
      <c r="E36" s="7"/>
      <c r="F36" s="7"/>
      <c r="G36" s="7"/>
    </row>
    <row r="37" customFormat="false" ht="27.75" hidden="false" customHeight="true" outlineLevel="0" collapsed="false">
      <c r="B37" s="26" t="s">
        <v>138</v>
      </c>
      <c r="C37" s="27" t="n">
        <f aca="false">$C$7-0.4</f>
        <v>1.52413409837249</v>
      </c>
      <c r="D37" s="27" t="n">
        <f aca="false">$C$7-0.2</f>
        <v>1.72413409837249</v>
      </c>
      <c r="E37" s="27" t="n">
        <f aca="false">$C$7</f>
        <v>1.92413409837249</v>
      </c>
      <c r="F37" s="27" t="n">
        <f aca="false">$C$7+0.2</f>
        <v>2.12413409837249</v>
      </c>
      <c r="G37" s="27" t="n">
        <f aca="false">$C$7+0.4</f>
        <v>2.32413409837249</v>
      </c>
    </row>
    <row r="38" customFormat="false" ht="15" hidden="false" customHeight="true" outlineLevel="0" collapsed="false">
      <c r="B38" s="28" t="n">
        <f aca="false">Assumptions!$C$8-0.2</f>
        <v>0</v>
      </c>
      <c r="C38" s="29" t="n">
        <f aca="false">(('Debt Schedule'!$G$7*C$37-'Debt Schedule'!$G$18+Assumptions!$C$33+'Debt Schedule'!$G$21)/((Assumptions!$C$6*(1+$B38)*Assumptions!$C$7+Assumptions!$C$20)*(1+Assumptions!$C$27)-Assumptions!$C$34-Assumptions!$C$39))^(1/$C$18)-1</f>
        <v>0.57013703257662</v>
      </c>
      <c r="D38" s="29" t="n">
        <f aca="false">(('Debt Schedule'!$G$7*D$37-'Debt Schedule'!$G$18+Assumptions!$C$33+'Debt Schedule'!$G$21)/((Assumptions!$C$6*(1+$B38)*Assumptions!$C$7+Assumptions!$C$20)*(1+Assumptions!$C$27)-Assumptions!$C$34-Assumptions!$C$39))^(1/$C$18)-1</f>
        <v>0.594519060334162</v>
      </c>
      <c r="E38" s="29" t="n">
        <f aca="false">(('Debt Schedule'!$G$7*E$37-'Debt Schedule'!$G$18+Assumptions!$C$33+'Debt Schedule'!$G$21)/((Assumptions!$C$6*(1+$B38)*Assumptions!$C$7+Assumptions!$C$20)*(1+Assumptions!$C$27)-Assumptions!$C$34-Assumptions!$C$39))^(1/$C$18)-1</f>
        <v>0.617494999456395</v>
      </c>
      <c r="F38" s="29" t="n">
        <f aca="false">(('Debt Schedule'!$G$7*F$37-'Debt Schedule'!$G$18+Assumptions!$C$33+'Debt Schedule'!$G$21)/((Assumptions!$C$6*(1+$B38)*Assumptions!$C$7+Assumptions!$C$20)*(1+Assumptions!$C$27)-Assumptions!$C$34-Assumptions!$C$39))^(1/$C$18)-1</f>
        <v>0.639235106781798</v>
      </c>
      <c r="G38" s="29" t="n">
        <f aca="false">(('Debt Schedule'!$G$7*G$37-'Debt Schedule'!$G$18+Assumptions!$C$33+'Debt Schedule'!$G$21)/((Assumptions!$C$6*(1+$B38)*Assumptions!$C$7+Assumptions!$C$20)*(1+Assumptions!$C$27)-Assumptions!$C$34-Assumptions!$C$39))^(1/$C$18)-1</f>
        <v>0.659879579771485</v>
      </c>
    </row>
    <row r="39" customFormat="false" ht="15" hidden="false" customHeight="true" outlineLevel="0" collapsed="false">
      <c r="B39" s="28" t="n">
        <f aca="false">Assumptions!$C$8-0.1</f>
        <v>0.1</v>
      </c>
      <c r="C39" s="29" t="n">
        <f aca="false">(('Debt Schedule'!$G$7*C$37-'Debt Schedule'!$G$18+Assumptions!$C$33+'Debt Schedule'!$G$21)/((Assumptions!$C$6*(1+$B39)*Assumptions!$C$7+Assumptions!$C$20)*(1+Assumptions!$C$27)-Assumptions!$C$34-Assumptions!$C$39))^(1/$C$18)-1</f>
        <v>0.426961013631644</v>
      </c>
      <c r="D39" s="29" t="n">
        <f aca="false">(('Debt Schedule'!$G$7*D$37-'Debt Schedule'!$G$18+Assumptions!$C$33+'Debt Schedule'!$G$21)/((Assumptions!$C$6*(1+$B39)*Assumptions!$C$7+Assumptions!$C$20)*(1+Assumptions!$C$27)-Assumptions!$C$34-Assumptions!$C$39))^(1/$C$18)-1</f>
        <v>0.449119718458956</v>
      </c>
      <c r="E39" s="29" t="n">
        <f aca="false">(('Debt Schedule'!$G$7*E$37-'Debt Schedule'!$G$18+Assumptions!$C$33+'Debt Schedule'!$G$21)/((Assumptions!$C$6*(1+$B39)*Assumptions!$C$7+Assumptions!$C$20)*(1+Assumptions!$C$27)-Assumptions!$C$34-Assumptions!$C$39))^(1/$C$18)-1</f>
        <v>0.470000551595665</v>
      </c>
      <c r="F39" s="29" t="n">
        <f aca="false">(('Debt Schedule'!$G$7*F$37-'Debt Schedule'!$G$18+Assumptions!$C$33+'Debt Schedule'!$G$21)/((Assumptions!$C$6*(1+$B39)*Assumptions!$C$7+Assumptions!$C$20)*(1+Assumptions!$C$27)-Assumptions!$C$34-Assumptions!$C$39))^(1/$C$18)-1</f>
        <v>0.489758244677147</v>
      </c>
      <c r="G39" s="29" t="n">
        <f aca="false">(('Debt Schedule'!$G$7*G$37-'Debt Schedule'!$G$18+Assumptions!$C$33+'Debt Schedule'!$G$21)/((Assumptions!$C$6*(1+$B39)*Assumptions!$C$7+Assumptions!$C$20)*(1+Assumptions!$C$27)-Assumptions!$C$34-Assumptions!$C$39))^(1/$C$18)-1</f>
        <v>0.50852021098458</v>
      </c>
    </row>
    <row r="40" customFormat="false" ht="15" hidden="false" customHeight="true" outlineLevel="0" collapsed="false">
      <c r="B40" s="28" t="n">
        <f aca="false">Assumptions!$C$8</f>
        <v>0.2</v>
      </c>
      <c r="C40" s="29" t="n">
        <f aca="false">(('Debt Schedule'!$G$7*C$37-'Debt Schedule'!$G$18+Assumptions!$C$33+'Debt Schedule'!$G$21)/((Assumptions!$C$6*(1+$B40)*Assumptions!$C$7+Assumptions!$C$20)*(1+Assumptions!$C$27)-Assumptions!$C$34-Assumptions!$C$39))^(1/$C$18)-1</f>
        <v>0.337933688586565</v>
      </c>
      <c r="D40" s="29" t="n">
        <f aca="false">(('Debt Schedule'!$G$7*D$37-'Debt Schedule'!$G$18+Assumptions!$C$33+'Debt Schedule'!$G$21)/((Assumptions!$C$6*(1+$B40)*Assumptions!$C$7+Assumptions!$C$20)*(1+Assumptions!$C$27)-Assumptions!$C$34-Assumptions!$C$39))^(1/$C$18)-1</f>
        <v>0.358709923817025</v>
      </c>
      <c r="E40" s="30" t="n">
        <f aca="false">(('Debt Schedule'!$G$7*E$37-'Debt Schedule'!$G$18+Assumptions!$C$33+'Debt Schedule'!$G$21)/((Assumptions!$C$6*(1+$B40)*Assumptions!$C$7+Assumptions!$C$20)*(1+Assumptions!$C$27)-Assumptions!$C$34-Assumptions!$C$39))^(1/$C$18)-1</f>
        <v>0.378288013079784</v>
      </c>
      <c r="F40" s="29" t="n">
        <f aca="false">(('Debt Schedule'!$G$7*F$37-'Debt Schedule'!$G$18+Assumptions!$C$33+'Debt Schedule'!$G$21)/((Assumptions!$C$6*(1+$B40)*Assumptions!$C$7+Assumptions!$C$20)*(1+Assumptions!$C$27)-Assumptions!$C$34-Assumptions!$C$39))^(1/$C$18)-1</f>
        <v>0.396813034387264</v>
      </c>
      <c r="G40" s="29" t="n">
        <f aca="false">(('Debt Schedule'!$G$7*G$37-'Debt Schedule'!$G$18+Assumptions!$C$33+'Debt Schedule'!$G$21)/((Assumptions!$C$6*(1+$B40)*Assumptions!$C$7+Assumptions!$C$20)*(1+Assumptions!$C$27)-Assumptions!$C$34-Assumptions!$C$39))^(1/$C$18)-1</f>
        <v>0.414404451775013</v>
      </c>
    </row>
    <row r="41" customFormat="false" ht="15" hidden="false" customHeight="true" outlineLevel="0" collapsed="false">
      <c r="B41" s="28" t="n">
        <f aca="false">Assumptions!$C$8+0.1</f>
        <v>0.3</v>
      </c>
      <c r="C41" s="29" t="n">
        <f aca="false">(('Debt Schedule'!$G$7*C$37-'Debt Schedule'!$G$18+Assumptions!$C$33+'Debt Schedule'!$G$21)/((Assumptions!$C$6*(1+$B41)*Assumptions!$C$7+Assumptions!$C$20)*(1+Assumptions!$C$27)-Assumptions!$C$34-Assumptions!$C$39))^(1/$C$18)-1</f>
        <v>0.274403355534693</v>
      </c>
      <c r="D41" s="29" t="n">
        <f aca="false">(('Debt Schedule'!$G$7*D$37-'Debt Schedule'!$G$18+Assumptions!$C$33+'Debt Schedule'!$G$21)/((Assumptions!$C$6*(1+$B41)*Assumptions!$C$7+Assumptions!$C$20)*(1+Assumptions!$C$27)-Assumptions!$C$34-Assumptions!$C$39))^(1/$C$18)-1</f>
        <v>0.294193053722985</v>
      </c>
      <c r="E41" s="29" t="n">
        <f aca="false">(('Debt Schedule'!$G$7*E$37-'Debt Schedule'!$G$18+Assumptions!$C$33+'Debt Schedule'!$G$21)/((Assumptions!$C$6*(1+$B41)*Assumptions!$C$7+Assumptions!$C$20)*(1+Assumptions!$C$27)-Assumptions!$C$34-Assumptions!$C$39))^(1/$C$18)-1</f>
        <v>0.312841498608005</v>
      </c>
      <c r="F41" s="29" t="n">
        <f aca="false">(('Debt Schedule'!$G$7*F$37-'Debt Schedule'!$G$18+Assumptions!$C$33+'Debt Schedule'!$G$21)/((Assumptions!$C$6*(1+$B41)*Assumptions!$C$7+Assumptions!$C$20)*(1+Assumptions!$C$27)-Assumptions!$C$34-Assumptions!$C$39))^(1/$C$18)-1</f>
        <v>0.330486879329784</v>
      </c>
      <c r="G41" s="29" t="n">
        <f aca="false">(('Debt Schedule'!$G$7*G$37-'Debt Schedule'!$G$18+Assumptions!$C$33+'Debt Schedule'!$G$21)/((Assumptions!$C$6*(1+$B41)*Assumptions!$C$7+Assumptions!$C$20)*(1+Assumptions!$C$27)-Assumptions!$C$34-Assumptions!$C$39))^(1/$C$18)-1</f>
        <v>0.347242987303448</v>
      </c>
    </row>
    <row r="42" customFormat="false" ht="15" hidden="false" customHeight="true" outlineLevel="0" collapsed="false">
      <c r="B42" s="28" t="n">
        <f aca="false">Assumptions!$C$8+0.2</f>
        <v>0.4</v>
      </c>
      <c r="C42" s="29" t="n">
        <f aca="false">(('Debt Schedule'!$G$7*C$37-'Debt Schedule'!$G$18+Assumptions!$C$33+'Debt Schedule'!$G$21)/((Assumptions!$C$6*(1+$B42)*Assumptions!$C$7+Assumptions!$C$20)*(1+Assumptions!$C$27)-Assumptions!$C$34-Assumptions!$C$39))^(1/$C$18)-1</f>
        <v>0.225535968178216</v>
      </c>
      <c r="D42" s="29" t="n">
        <f aca="false">(('Debt Schedule'!$G$7*D$37-'Debt Schedule'!$G$18+Assumptions!$C$33+'Debt Schedule'!$G$21)/((Assumptions!$C$6*(1+$B42)*Assumptions!$C$7+Assumptions!$C$20)*(1+Assumptions!$C$27)-Assumptions!$C$34-Assumptions!$C$39))^(1/$C$18)-1</f>
        <v>0.244566824322633</v>
      </c>
      <c r="E42" s="29" t="n">
        <f aca="false">(('Debt Schedule'!$G$7*E$37-'Debt Schedule'!$G$18+Assumptions!$C$33+'Debt Schedule'!$G$21)/((Assumptions!$C$6*(1+$B42)*Assumptions!$C$7+Assumptions!$C$20)*(1+Assumptions!$C$27)-Assumptions!$C$34-Assumptions!$C$39))^(1/$C$18)-1</f>
        <v>0.262500188871561</v>
      </c>
      <c r="F42" s="29" t="n">
        <f aca="false">(('Debt Schedule'!$G$7*F$37-'Debt Schedule'!$G$18+Assumptions!$C$33+'Debt Schedule'!$G$21)/((Assumptions!$C$6*(1+$B42)*Assumptions!$C$7+Assumptions!$C$20)*(1+Assumptions!$C$27)-Assumptions!$C$34-Assumptions!$C$39))^(1/$C$18)-1</f>
        <v>0.279468952060093</v>
      </c>
      <c r="G42" s="29" t="n">
        <f aca="false">(('Debt Schedule'!$G$7*G$37-'Debt Schedule'!$G$18+Assumptions!$C$33+'Debt Schedule'!$G$21)/((Assumptions!$C$6*(1+$B42)*Assumptions!$C$7+Assumptions!$C$20)*(1+Assumptions!$C$27)-Assumptions!$C$34-Assumptions!$C$39))^(1/$C$18)-1</f>
        <v>0.295582541936657</v>
      </c>
    </row>
    <row r="44" customFormat="false" ht="30" hidden="false" customHeight="true" outlineLevel="0" collapsed="false">
      <c r="B44" s="7" t="s">
        <v>139</v>
      </c>
      <c r="C44" s="7"/>
      <c r="D44" s="7"/>
      <c r="E44" s="7"/>
      <c r="F44" s="7"/>
      <c r="G44" s="7"/>
    </row>
  </sheetData>
  <mergeCells count="5">
    <mergeCell ref="B2:F2"/>
    <mergeCell ref="B32:G32"/>
    <mergeCell ref="B34:G34"/>
    <mergeCell ref="B35:G36"/>
    <mergeCell ref="B44:G44"/>
  </mergeCells>
  <conditionalFormatting sqref="C38:G42">
    <cfRule type="colorScale" priority="2">
      <colorScale>
        <cfvo type="min" val="0"/>
        <cfvo type="max" val="0"/>
        <color rgb="FFFFFFFF"/>
        <color rgb="FF1F3864"/>
      </colorScale>
    </cfRule>
  </conditionalFormatting>
  <printOptions headings="false" gridLines="false" gridLinesSet="true" horizontalCentered="false" verticalCentered="false"/>
  <pageMargins left="0.25" right="0.25"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F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72"/>
    <col collapsed="false" customWidth="true" hidden="false" outlineLevel="0" max="3" min="3" style="1" width="10"/>
    <col collapsed="false" customWidth="true" hidden="false" outlineLevel="0" max="4" min="4" style="1" width="14"/>
  </cols>
  <sheetData>
    <row r="2" customFormat="false" ht="17.25" hidden="false" customHeight="true" outlineLevel="0" collapsed="false">
      <c r="B2" s="2" t="s">
        <v>140</v>
      </c>
      <c r="C2" s="2"/>
      <c r="D2" s="2"/>
      <c r="E2" s="2"/>
      <c r="F2" s="2"/>
    </row>
    <row r="5" customFormat="false" ht="15" hidden="false" customHeight="true" outlineLevel="0" collapsed="false">
      <c r="B5" s="8" t="s">
        <v>141</v>
      </c>
      <c r="D5" s="8" t="s">
        <v>142</v>
      </c>
    </row>
    <row r="6" customFormat="false" ht="15" hidden="false" customHeight="true" outlineLevel="0" collapsed="false">
      <c r="B6" s="9" t="s">
        <v>143</v>
      </c>
      <c r="D6" s="9" t="str">
        <f aca="false">IF(ROUND(Assumptions!C43-Assumptions!C29,1)=0,"OK","A VERIFIER")</f>
        <v>OK</v>
      </c>
    </row>
    <row r="7" customFormat="false" ht="15" hidden="false" customHeight="true" outlineLevel="0" collapsed="false">
      <c r="B7" s="9" t="s">
        <v>144</v>
      </c>
      <c r="D7" s="9" t="str">
        <f aca="false">IF(ROUND(Returns!C29-Returns!C30,1)=0,"OK","A VERIFIER")</f>
        <v>OK</v>
      </c>
    </row>
    <row r="8" customFormat="false" ht="15" hidden="false" customHeight="true" outlineLevel="0" collapsed="false">
      <c r="B8" s="9" t="s">
        <v>145</v>
      </c>
      <c r="D8" s="9" t="str">
        <f aca="false">IF(MIN('Debt Schedule'!C18:G18)&gt;=0,"OK","A VERIFIER")</f>
        <v>OK</v>
      </c>
    </row>
    <row r="9" customFormat="false" ht="15" hidden="false" customHeight="true" outlineLevel="0" collapsed="false">
      <c r="B9" s="9" t="s">
        <v>146</v>
      </c>
      <c r="D9" s="9" t="str">
        <f aca="false">IF(Assumptions!C41&gt;0,"OK","A VERIFIER")</f>
        <v>OK</v>
      </c>
    </row>
    <row r="10" customFormat="false" ht="15" hidden="false" customHeight="true" outlineLevel="0" collapsed="false">
      <c r="B10" s="9" t="s">
        <v>147</v>
      </c>
      <c r="D10" s="9" t="str">
        <f aca="false">IF(MIN('Debt Schedule'!C16:G16)&gt;=0,"OK","A VERIFIER")</f>
        <v>OK</v>
      </c>
    </row>
    <row r="11" customFormat="false" ht="15" hidden="false" customHeight="true" outlineLevel="0" collapsed="false">
      <c r="B11" s="9" t="s">
        <v>148</v>
      </c>
      <c r="D11" s="9" t="str">
        <f aca="false">IF(AND(Returns!C17&gt;1,Returns!C19&gt;0),"OK","A VERIFIER")</f>
        <v>OK</v>
      </c>
    </row>
    <row r="12" customFormat="false" ht="15" hidden="false" customHeight="true" outlineLevel="0" collapsed="false">
      <c r="B12" s="9" t="s">
        <v>149</v>
      </c>
      <c r="D12" s="9" t="str">
        <f aca="false">IF(Assumptions!$C$38&lt;=Assumptions!$C$55,"OK","A VERIFIER")</f>
        <v>OK</v>
      </c>
    </row>
    <row r="13" customFormat="false" ht="15" hidden="false" customHeight="true" outlineLevel="0" collapsed="false">
      <c r="B13" s="9" t="s">
        <v>150</v>
      </c>
      <c r="C13" s="9"/>
      <c r="D13" s="9" t="str">
        <f aca="false">IF(_xlfn.MINIFS('Debt Schedule'!$C$29:$G$29,'Debt Schedule'!$C$11:$G$11,"&gt;0")&gt;=Assumptions!$C$56,"OK","A VERIFIER")</f>
        <v>OK</v>
      </c>
    </row>
    <row r="15" customFormat="false" ht="15" hidden="false" customHeight="true" outlineLevel="0" collapsed="false">
      <c r="B15" s="8" t="s">
        <v>151</v>
      </c>
      <c r="C15" s="8" t="str">
        <f aca="false">IF(COUNTIF(D6:D13,"OK")=8,"Tous les contrôles sont OK","Au moins un contrôle à vérifier")</f>
        <v>Tous les contrôles sont OK</v>
      </c>
    </row>
  </sheetData>
  <mergeCells count="1">
    <mergeCell ref="B2:F2"/>
  </mergeCells>
  <printOptions headings="false" gridLines="false" gridLinesSet="true" horizontalCentered="false" verticalCentered="false"/>
  <pageMargins left="0.25" right="0.25"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2026-10-12T16:48:00Z</dcterms:created>
  <dc:creator>openpyxl</dc:creator>
  <dc:description/>
  <dc:language>en-US</dc:language>
  <cp:lastModifiedBy/>
  <dcterms:modified xsi:type="dcterms:W3CDTF">2026-10-13T20:24:45Z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