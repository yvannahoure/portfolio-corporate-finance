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Trading Comps" sheetId="2" state="visible" r:id="rId4"/>
    <sheet name="Valuation Range" sheetId="3" state="visible" r:id="rId5"/>
  </sheets>
  <definedNames>
    <definedName function="false" hidden="false" localSheetId="0" name="_xlnm.Print_Area" vbProcedure="false">Cover!$A$1:$F$7</definedName>
    <definedName function="false" hidden="false" localSheetId="1" name="_xlnm.Print_Area" vbProcedure="false">'Trading Comps'!$A$1:$U$33</definedName>
    <definedName function="false" hidden="false" localSheetId="2" name="_xlnm.Print_Area" vbProcedure="false">'Valuation Range'!$A$1:$T$29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<sst xmlns="http://schemas.openxmlformats.org/spreadsheetml/2006/main" count="90" uniqueCount="66">
  <si>
    <t xml:space="preserve">Trading Comps - consolidation des comparables boursiers utilisés dans le portfolio</t>
  </si>
  <si>
    <t xml:space="preserve">Exercice personnel - Yvann Ahoure</t>
  </si>
  <si>
    <t xml:space="preserve">Consolide, sur une seule feuille, les groupes de comparables boursiers mobilisés dans les 3 DCF du portfolio (Danone, Sonatel, Tesla), pour montrer la méthode de sélection d'un peer group et la lecture croisée DCF / multiples de marché.</t>
  </si>
  <si>
    <t xml:space="preserve">Comparables boursiers par secteur</t>
  </si>
  <si>
    <t xml:space="preserve">Multiples en x ; capitalisations et VE en devise locale, million/milliard selon la ligne (précisé en colonne F).</t>
  </si>
  <si>
    <t xml:space="preserve">AGROALIMENTAIRE / STAPLES (comparables Danone)</t>
  </si>
  <si>
    <t xml:space="preserve">Société</t>
  </si>
  <si>
    <t xml:space="preserve">Place de cotation</t>
  </si>
  <si>
    <t xml:space="preserve">VE/EBITDA</t>
  </si>
  <si>
    <t xml:space="preserve">P/E</t>
  </si>
  <si>
    <t xml:space="preserve">Exercice</t>
  </si>
  <si>
    <t xml:space="preserve">Source</t>
  </si>
  <si>
    <t xml:space="preserve">Danone (implicite marché, calculé)</t>
  </si>
  <si>
    <t xml:space="preserve">Euronext Paris</t>
  </si>
  <si>
    <t xml:space="preserve">FY2025</t>
  </si>
  <si>
    <t xml:space="preserve">Calculé : (capi + dette nette) / EBITDA</t>
  </si>
  <si>
    <t xml:space="preserve">Moyenne pairs cotés (hors Danone)</t>
  </si>
  <si>
    <t xml:space="preserve">Danone (implicite DCF, calculé)</t>
  </si>
  <si>
    <t xml:space="preserve">Calculé : VE DCF / EBITDA</t>
  </si>
  <si>
    <t xml:space="preserve">Nestlé</t>
  </si>
  <si>
    <t xml:space="preserve">SIX Swiss Exchange</t>
  </si>
  <si>
    <t xml:space="preserve">marketscreener.com, oct. 2026</t>
  </si>
  <si>
    <t xml:space="preserve">Unilever</t>
  </si>
  <si>
    <t xml:space="preserve">LSE / Euronext Amsterdam</t>
  </si>
  <si>
    <t xml:space="preserve">General Mills</t>
  </si>
  <si>
    <t xml:space="preserve">NYSE</t>
  </si>
  <si>
    <t xml:space="preserve">FY2026 (clôture mai)</t>
  </si>
  <si>
    <t xml:space="preserve">TÉLÉCOMS AFRIQUE DE L'OUEST / MAGHREB (comparables Sonatel)</t>
  </si>
  <si>
    <t xml:space="preserve">Sonatel (implicite marché, calculé)</t>
  </si>
  <si>
    <t xml:space="preserve">BRVM</t>
  </si>
  <si>
    <t xml:space="preserve">Calculé : capitalisation / EBITDAaL (proxy VE)</t>
  </si>
  <si>
    <t xml:space="preserve">Sonatel (implicite DCF, calculé)</t>
  </si>
  <si>
    <t xml:space="preserve">Calculé : VE DCF / EBITDAaL</t>
  </si>
  <si>
    <t xml:space="preserve">Maroc Telecom</t>
  </si>
  <si>
    <t xml:space="preserve">Euronext / BVC</t>
  </si>
  <si>
    <t xml:space="preserve">FY, dernier exercice</t>
  </si>
  <si>
    <t xml:space="preserve">Multiples.vc, 12/10/2026</t>
  </si>
  <si>
    <t xml:space="preserve">VALEUR DE CROISSANCE US (contexte Tesla - comparaison non homogène)</t>
  </si>
  <si>
    <t xml:space="preserve">Tesla (implicite marché, calculé)</t>
  </si>
  <si>
    <t xml:space="preserve">NASDAQ</t>
  </si>
  <si>
    <t xml:space="preserve">Calculé : (capi - trésorerie nette) / EBITDA ajusté</t>
  </si>
  <si>
    <t xml:space="preserve">Tesla (implicite DCF, calculé)</t>
  </si>
  <si>
    <t xml:space="preserve">Calculé : VE DCF / EBITDA ajusté</t>
  </si>
  <si>
    <t xml:space="preserve">Lecture transversale : sur les 3 dossiers, l'écart entre multiple implicite de marché et multiple implicite du DCF se lit différemment selon le contexte. Pour Danone, le DCF (15,3x) se rapproche des pairs cotés (12,7x-14,1x) alors que le marché price Danone en dessous (11,4x) : lecture favorable à une sous-valorisation relative. Pour Tesla, l'écart est inverse et massif (100x payé par le marché contre 8,6x de DCF) : le marché price une optionalité hors flux actuels, pas une erreur de calcul. Pour Sonatel, l'écart est plus modéré et le comparable (Maroc Telecom, 4,9x) valide la lecture de marché plutôt que celle du DCF.</t>
  </si>
  <si>
    <t xml:space="preserve">Note méthodologique : les multiples calculés ci-dessus (lignes 'implicite marché' / 'implicite DCF') sont saisis en dur, recalculés manuellement à chaque mise à jour des 3 modèles DCF sources, plutôt que liés par formule inter-classeurs. Ce choix évite la fragilité des liens externes Excel (chemins relatifs rompus en cas de déplacement/zip du portfolio, valeurs en cache perdues lors d'un recalcul hors Excel) ; la cellule Source de chaque ligne indique le fichier et le calcul d'origine pour permettre une vérification manuelle rapide.</t>
  </si>
  <si>
    <t xml:space="preserve">Fourchette de valorisation - Danone (comparables vs DCF)</t>
  </si>
  <si>
    <t xml:space="preserve">M€ sauf mention contraire</t>
  </si>
  <si>
    <t xml:space="preserve">Danone - EBITDA FY2025 (calculé)</t>
  </si>
  <si>
    <t xml:space="preserve">Danone - dette financière nette FY2025</t>
  </si>
  <si>
    <t xml:space="preserve">Danone - actions en circulation (M, calculé)</t>
  </si>
  <si>
    <t xml:space="preserve">Méthode</t>
  </si>
  <si>
    <t xml:space="preserve">Multiple / source</t>
  </si>
  <si>
    <t xml:space="preserve">VE implicite</t>
  </si>
  <si>
    <t xml:space="preserve">Valeur des fonds propres</t>
  </si>
  <si>
    <t xml:space="preserve">Valeur par action (€)</t>
  </si>
  <si>
    <t xml:space="preserve">Multiple Nestlé (EV/EBITDA FY2025)</t>
  </si>
  <si>
    <t xml:space="preserve">Multiple Unilever (EV/EBITDA FY2025)</t>
  </si>
  <si>
    <t xml:space="preserve">Multiple General Mills (EV/EBITDA FY2026)</t>
  </si>
  <si>
    <t xml:space="preserve">DCF (scénario central, onglet DCF du modèle Danone)</t>
  </si>
  <si>
    <t xml:space="preserve">n/a (DCF)</t>
  </si>
  <si>
    <t xml:space="preserve">Cours de marché actuel (12/10/2026)</t>
  </si>
  <si>
    <t xml:space="preserve">Synthèse de la fourchette</t>
  </si>
  <si>
    <t xml:space="preserve">Borne basse (comparable le moins cher, General Mills)</t>
  </si>
  <si>
    <t xml:space="preserve">Borne haute (DCF, scénario central)</t>
  </si>
  <si>
    <t xml:space="preserve">Cours de marché actuel, pour mémoire</t>
  </si>
  <si>
    <t xml:space="preserve">Lecture : le cours de marché actuel (59,5 €) se situe dans le bas de la fourchette formée par les comparables boursiers (45,8 € à 76,3 €) et nettement sous le DCF (84,1 €). Les trois méthodes convergent vers une lecture favorable à Danone sans pour autant constituer une recommandation d'investissement - voir l'avertissement du modèle DCF.</t>
  </si>
</sst>
</file>

<file path=xl/styles.xml><?xml version="1.0" encoding="utf-8"?>
<styleSheet xmlns="http://schemas.openxmlformats.org/spreadsheetml/2006/main">
  <numFmts count="6">
    <numFmt numFmtId="164" formatCode="General"/>
    <numFmt numFmtId="165" formatCode="0.0\x;\(0.0&quot;x)&quot;;\-"/>
    <numFmt numFmtId="166" formatCode="0.0\x"/>
    <numFmt numFmtId="167" formatCode="#,##0;\(#,##0\);\-"/>
    <numFmt numFmtId="168" formatCode="#,##0.0;\(#,##0.0\);\-"/>
    <numFmt numFmtId="169" formatCode="#,##0.0&quot; €&quot;"/>
  </numFmts>
  <fonts count="15">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666666"/>
      <name val="Arial"/>
      <family val="0"/>
      <charset val="1"/>
    </font>
    <font>
      <i val="true"/>
      <sz val="8"/>
      <color rgb="FF7F7F7F"/>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b val="true"/>
      <sz val="10"/>
      <name val="Arial"/>
      <family val="0"/>
      <charset val="1"/>
    </font>
    <font>
      <sz val="11"/>
      <color theme="1"/>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33"/>
      </patternFill>
    </fill>
    <fill>
      <patternFill patternType="solid">
        <fgColor rgb="FFFFFDE7"/>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7" fontId="9" fillId="3" borderId="0" xfId="0" applyFont="true" applyBorder="false" applyAlignment="true" applyProtection="true">
      <alignment horizontal="general" vertical="bottom" textRotation="0" wrapText="false" indent="0" shrinkToFit="false"/>
      <protection locked="true" hidden="false"/>
    </xf>
    <xf numFmtId="168" fontId="9" fillId="3" borderId="0" xfId="0" applyFont="true" applyBorder="false" applyAlignment="true" applyProtection="true">
      <alignment horizontal="general" vertical="bottom" textRotation="0" wrapText="false" indent="0" shrinkToFit="false"/>
      <protection locked="true" hidden="false"/>
    </xf>
    <xf numFmtId="165" fontId="9" fillId="3"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general" vertical="bottom" textRotation="0" wrapText="false" indent="0" shrinkToFit="false"/>
      <protection locked="true" hidden="false"/>
    </xf>
    <xf numFmtId="169" fontId="11" fillId="0" borderId="0" xfId="0" applyFont="true" applyBorder="false" applyAlignment="true" applyProtection="true">
      <alignment horizontal="general" vertical="bottom" textRotation="0" wrapText="false" indent="0" shrinkToFit="false"/>
      <protection locked="true" hidden="false"/>
    </xf>
    <xf numFmtId="169" fontId="9"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7F7F7F"/>
      <rgbColor rgb="FF9999FF"/>
      <rgbColor rgb="FF993366"/>
      <rgbColor rgb="FFFFFDE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0E0E0"/>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VE/EBITDA - Danone vs comparables agroalimentaires (x)</a:t>
            </a:r>
          </a:p>
        </c:rich>
      </c:tx>
      <c:overlay val="0"/>
      <c:spPr>
        <a:noFill/>
        <a:ln w="0">
          <a:noFill/>
        </a:ln>
      </c:spPr>
    </c:title>
    <c:autoTitleDeleted val="0"/>
    <c:plotArea>
      <c:barChart>
        <c:barDir val="col"/>
        <c:grouping val="clustered"/>
        <c:varyColors val="0"/>
        <c:ser>
          <c:idx val="0"/>
          <c:order val="0"/>
          <c:spPr>
            <a:solidFill>
              <a:srgbClr val="1f3864"/>
            </a:solidFill>
            <a:ln w="0">
              <a:solidFill>
                <a:srgbClr val="1f3864"/>
              </a:solidFill>
            </a:ln>
          </c:spPr>
          <c:invertIfNegative val="0"/>
          <c:dLbls>
            <c:numFmt formatCode="0.0\x"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'Trading Comps'!$B$7:$B$11</c:f>
              <c:strCache>
                <c:ptCount val="5"/>
                <c:pt idx="0">
                  <c:v>Danone (implicite marché, calculé)</c:v>
                </c:pt>
                <c:pt idx="1">
                  <c:v>Danone (implicite DCF, calculé)</c:v>
                </c:pt>
                <c:pt idx="2">
                  <c:v>Nestlé</c:v>
                </c:pt>
                <c:pt idx="3">
                  <c:v>Unilever</c:v>
                </c:pt>
                <c:pt idx="4">
                  <c:v>General Mills</c:v>
                </c:pt>
              </c:strCache>
            </c:strRef>
          </c:cat>
          <c:val>
            <c:numRef>
              <c:f>'Trading Comps'!$D$7:$D$11</c:f>
              <c:numCache>
                <c:formatCode>0.0\x;\(0.0"x)";\-</c:formatCode>
                <c:ptCount val="5"/>
                <c:pt idx="0">
                  <c:v>11.43</c:v>
                </c:pt>
                <c:pt idx="1">
                  <c:v>15.35</c:v>
                </c:pt>
                <c:pt idx="2">
                  <c:v>14.1</c:v>
                </c:pt>
                <c:pt idx="3">
                  <c:v>12.7</c:v>
                </c:pt>
                <c:pt idx="4">
                  <c:v>9.25</c:v>
                </c:pt>
              </c:numCache>
            </c:numRef>
          </c:val>
        </c:ser>
        <c:gapWidth val="150"/>
        <c:overlap val="0"/>
        <c:axId val="81574732"/>
        <c:axId val="40365501"/>
      </c:barChart>
      <c:catAx>
        <c:axId val="8157473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0365501"/>
        <c:crosses val="autoZero"/>
        <c:auto val="1"/>
        <c:lblAlgn val="ctr"/>
        <c:lblOffset val="100"/>
        <c:noMultiLvlLbl val="0"/>
      </c:catAx>
      <c:valAx>
        <c:axId val="40365501"/>
        <c:scaling>
          <c:orientation val="minMax"/>
        </c:scaling>
        <c:delete val="0"/>
        <c:axPos val="l"/>
        <c:majorGridlines>
          <c:spPr>
            <a:ln w="9360">
              <a:solidFill>
                <a:srgbClr val="e0e0e0"/>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a:t>
                </a:r>
              </a:p>
            </c:rich>
          </c:tx>
          <c:overlay val="0"/>
          <c:spPr>
            <a:noFill/>
            <a:ln w="0">
              <a:noFill/>
            </a:ln>
          </c:spPr>
        </c:title>
        <c:numFmt formatCode="0.0\x;\(0.0&quot;x)&quot;;\-"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157473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Fourchette de valorisation Danone - valeur par action (€)</a:t>
            </a:r>
          </a:p>
        </c:rich>
      </c:tx>
      <c:overlay val="0"/>
      <c:spPr>
        <a:noFill/>
        <a:ln w="0">
          <a:noFill/>
        </a:ln>
      </c:spPr>
    </c:title>
    <c:autoTitleDeleted val="0"/>
    <c:plotArea>
      <c:barChart>
        <c:barDir val="bar"/>
        <c:grouping val="clustered"/>
        <c:varyColors val="0"/>
        <c:ser>
          <c:idx val="0"/>
          <c:order val="0"/>
          <c:spPr>
            <a:solidFill>
              <a:srgbClr val="1f3864"/>
            </a:solidFill>
            <a:ln w="0">
              <a:solidFill>
                <a:srgbClr val="1f3864"/>
              </a:solidFill>
            </a:ln>
          </c:spPr>
          <c:invertIfNegative val="0"/>
          <c:dLbls>
            <c:numFmt formatCode="#,##0.0&quot; €&quot;"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'Valuation Range'!$B$10:$B$14</c:f>
              <c:strCache>
                <c:ptCount val="5"/>
                <c:pt idx="0">
                  <c:v>Multiple Nestlé (EV/EBITDA FY2025)</c:v>
                </c:pt>
                <c:pt idx="1">
                  <c:v>Multiple Unilever (EV/EBITDA FY2025)</c:v>
                </c:pt>
                <c:pt idx="2">
                  <c:v>Multiple General Mills (EV/EBITDA FY2026)</c:v>
                </c:pt>
                <c:pt idx="3">
                  <c:v>DCF (scénario central, onglet DCF du modèle Danone)</c:v>
                </c:pt>
                <c:pt idx="4">
                  <c:v>Cours de marché actuel (12/10/2026)</c:v>
                </c:pt>
              </c:strCache>
            </c:strRef>
          </c:cat>
          <c:val>
            <c:numRef>
              <c:f>'Valuation Range'!$F$10:$F$14</c:f>
              <c:numCache>
                <c:formatCode>#,##0.0" €"</c:formatCode>
                <c:ptCount val="5"/>
                <c:pt idx="0">
                  <c:v>76.2863289138643</c:v>
                </c:pt>
                <c:pt idx="1">
                  <c:v>67.4869025668042</c:v>
                </c:pt>
                <c:pt idx="2">
                  <c:v>45.8026019258349</c:v>
                </c:pt>
                <c:pt idx="3">
                  <c:v>84.1217695437118</c:v>
                </c:pt>
                <c:pt idx="4">
                  <c:v>59.5</c:v>
                </c:pt>
              </c:numCache>
            </c:numRef>
          </c:val>
        </c:ser>
        <c:gapWidth val="150"/>
        <c:overlap val="0"/>
        <c:axId val="74561300"/>
        <c:axId val="90181474"/>
      </c:barChart>
      <c:catAx>
        <c:axId val="7456130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0181474"/>
        <c:crosses val="autoZero"/>
        <c:auto val="1"/>
        <c:lblAlgn val="ctr"/>
        <c:lblOffset val="100"/>
        <c:noMultiLvlLbl val="0"/>
      </c:catAx>
      <c:valAx>
        <c:axId val="90181474"/>
        <c:scaling>
          <c:orientation val="minMax"/>
        </c:scaling>
        <c:delete val="0"/>
        <c:axPos val="l"/>
        <c:majorGridlines>
          <c:spPr>
            <a:ln w="9360">
              <a:solidFill>
                <a:srgbClr val="e0e0e0"/>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€/action</a:t>
                </a:r>
              </a:p>
            </c:rich>
          </c:tx>
          <c:overlay val="0"/>
          <c:spPr>
            <a:noFill/>
            <a:ln w="0">
              <a:noFill/>
            </a:ln>
          </c:spPr>
        </c:title>
        <c:numFmt formatCode="#,##0.0&quot; €&quot;"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456130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0</xdr:rowOff>
    </xdr:from>
    <xdr:to>
      <xdr:col>19</xdr:col>
      <xdr:colOff>470160</xdr:colOff>
      <xdr:row>18</xdr:row>
      <xdr:rowOff>133560</xdr:rowOff>
    </xdr:to>
    <xdr:graphicFrame>
      <xdr:nvGraphicFramePr>
        <xdr:cNvPr id="0" name="Chart 1"/>
        <xdr:cNvGraphicFramePr/>
      </xdr:nvGraphicFramePr>
      <xdr:xfrm>
        <a:off x="11232000" y="800280"/>
        <a:ext cx="7196760" cy="287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8</xdr:row>
      <xdr:rowOff>0</xdr:rowOff>
    </xdr:from>
    <xdr:to>
      <xdr:col>18</xdr:col>
      <xdr:colOff>470160</xdr:colOff>
      <xdr:row>26</xdr:row>
      <xdr:rowOff>167760</xdr:rowOff>
    </xdr:to>
    <xdr:graphicFrame>
      <xdr:nvGraphicFramePr>
        <xdr:cNvPr id="1" name="Chart 1"/>
        <xdr:cNvGraphicFramePr/>
      </xdr:nvGraphicFramePr>
      <xdr:xfrm>
        <a:off x="8694360" y="1562040"/>
        <a:ext cx="7196760" cy="359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20"/>
    <col collapsed="false" customWidth="true" hidden="false" outlineLevel="0" max="3" min="3" style="1" width="60"/>
  </cols>
  <sheetData>
    <row r="2" customFormat="false" ht="18"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c r="C5" s="4"/>
      <c r="D5" s="4"/>
      <c r="E5" s="4"/>
      <c r="F5" s="4"/>
    </row>
    <row r="6" customFormat="false" ht="15" hidden="false" customHeight="true" outlineLevel="0" collapsed="false">
      <c r="B6" s="4"/>
      <c r="C6" s="4"/>
      <c r="D6" s="4"/>
      <c r="E6" s="4"/>
      <c r="F6" s="4"/>
    </row>
    <row r="7" customFormat="false" ht="15" hidden="false" customHeight="true" outlineLevel="0" collapsed="false">
      <c r="B7" s="4"/>
      <c r="C7" s="4"/>
      <c r="D7" s="4"/>
      <c r="E7" s="4"/>
      <c r="F7" s="4"/>
    </row>
  </sheetData>
  <mergeCells count="1">
    <mergeCell ref="B5:F7"/>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2" style="1" width="34"/>
    <col collapsed="false" customWidth="true" hidden="false" outlineLevel="0" max="3" min="3" style="1" width="22"/>
    <col collapsed="false" customWidth="true" hidden="false" outlineLevel="0" max="4" min="4" style="1" width="12"/>
    <col collapsed="false" customWidth="true" hidden="false" outlineLevel="0" max="5" min="5" style="1" width="10"/>
    <col collapsed="false" customWidth="true" hidden="false" outlineLevel="0" max="6" min="6" style="1" width="18"/>
    <col collapsed="false" customWidth="true" hidden="false" outlineLevel="0" max="7" min="7" style="1" width="46"/>
  </cols>
  <sheetData>
    <row r="2" customFormat="false" ht="18" hidden="false" customHeight="true" outlineLevel="0" collapsed="false">
      <c r="B2" s="2" t="s">
        <v>3</v>
      </c>
    </row>
    <row r="3" customFormat="false" ht="15" hidden="false" customHeight="true" outlineLevel="0" collapsed="false">
      <c r="B3" s="5" t="s">
        <v>4</v>
      </c>
    </row>
    <row r="5" customFormat="false" ht="18" hidden="false" customHeight="true" outlineLevel="0" collapsed="false">
      <c r="B5" s="6" t="s">
        <v>5</v>
      </c>
      <c r="C5" s="7"/>
      <c r="D5" s="7"/>
      <c r="E5" s="7"/>
      <c r="F5" s="7"/>
      <c r="G5" s="7"/>
    </row>
    <row r="6" customFormat="false" ht="15" hidden="false" customHeight="true" outlineLevel="0" collapsed="false">
      <c r="B6" s="6" t="s">
        <v>6</v>
      </c>
      <c r="C6" s="6" t="s">
        <v>7</v>
      </c>
      <c r="D6" s="6" t="s">
        <v>8</v>
      </c>
      <c r="E6" s="6" t="s">
        <v>9</v>
      </c>
      <c r="F6" s="6" t="s">
        <v>10</v>
      </c>
      <c r="G6" s="6" t="s">
        <v>11</v>
      </c>
    </row>
    <row r="7" customFormat="false" ht="15" hidden="false" customHeight="true" outlineLevel="0" collapsed="false">
      <c r="B7" s="8" t="s">
        <v>12</v>
      </c>
      <c r="C7" s="9" t="s">
        <v>13</v>
      </c>
      <c r="D7" s="10" t="n">
        <v>11.43</v>
      </c>
      <c r="E7" s="8"/>
      <c r="F7" s="8" t="s">
        <v>14</v>
      </c>
      <c r="G7" s="3" t="s">
        <v>15</v>
      </c>
      <c r="H7" s="11" t="s">
        <v>16</v>
      </c>
      <c r="I7" s="12" t="n">
        <f aca="false">AVERAGE(D9:D11)</f>
        <v>12.0166666666667</v>
      </c>
    </row>
    <row r="8" customFormat="false" ht="15" hidden="false" customHeight="true" outlineLevel="0" collapsed="false">
      <c r="B8" s="8" t="s">
        <v>17</v>
      </c>
      <c r="C8" s="9" t="s">
        <v>13</v>
      </c>
      <c r="D8" s="10" t="n">
        <v>15.35</v>
      </c>
      <c r="E8" s="8"/>
      <c r="F8" s="8" t="s">
        <v>14</v>
      </c>
      <c r="G8" s="3" t="s">
        <v>18</v>
      </c>
    </row>
    <row r="9" customFormat="false" ht="15" hidden="false" customHeight="true" outlineLevel="0" collapsed="false">
      <c r="B9" s="9" t="s">
        <v>19</v>
      </c>
      <c r="C9" s="9" t="s">
        <v>20</v>
      </c>
      <c r="D9" s="13" t="n">
        <v>14.1</v>
      </c>
      <c r="E9" s="13" t="n">
        <v>22.4</v>
      </c>
      <c r="F9" s="9" t="s">
        <v>14</v>
      </c>
      <c r="G9" s="3" t="s">
        <v>21</v>
      </c>
    </row>
    <row r="10" customFormat="false" ht="15" hidden="false" customHeight="true" outlineLevel="0" collapsed="false">
      <c r="B10" s="9" t="s">
        <v>22</v>
      </c>
      <c r="C10" s="9" t="s">
        <v>23</v>
      </c>
      <c r="D10" s="13" t="n">
        <v>12.7</v>
      </c>
      <c r="E10" s="13" t="n">
        <v>21.5</v>
      </c>
      <c r="F10" s="9" t="s">
        <v>14</v>
      </c>
      <c r="G10" s="3" t="s">
        <v>21</v>
      </c>
    </row>
    <row r="11" customFormat="false" ht="15" hidden="false" customHeight="true" outlineLevel="0" collapsed="false">
      <c r="B11" s="9" t="s">
        <v>24</v>
      </c>
      <c r="C11" s="9" t="s">
        <v>25</v>
      </c>
      <c r="D11" s="13" t="n">
        <v>9.25</v>
      </c>
      <c r="E11" s="9"/>
      <c r="F11" s="9" t="s">
        <v>26</v>
      </c>
      <c r="G11" s="3" t="s">
        <v>21</v>
      </c>
    </row>
    <row r="14" customFormat="false" ht="18" hidden="false" customHeight="true" outlineLevel="0" collapsed="false">
      <c r="B14" s="6" t="s">
        <v>27</v>
      </c>
      <c r="C14" s="7"/>
      <c r="D14" s="7"/>
      <c r="E14" s="7"/>
      <c r="F14" s="7"/>
      <c r="G14" s="7"/>
    </row>
    <row r="15" customFormat="false" ht="15" hidden="false" customHeight="true" outlineLevel="0" collapsed="false">
      <c r="B15" s="6" t="s">
        <v>6</v>
      </c>
      <c r="C15" s="6" t="s">
        <v>7</v>
      </c>
      <c r="D15" s="6" t="s">
        <v>8</v>
      </c>
      <c r="E15" s="6" t="s">
        <v>9</v>
      </c>
      <c r="F15" s="6" t="s">
        <v>10</v>
      </c>
      <c r="G15" s="6" t="s">
        <v>11</v>
      </c>
    </row>
    <row r="16" customFormat="false" ht="15" hidden="false" customHeight="true" outlineLevel="0" collapsed="false">
      <c r="B16" s="8" t="s">
        <v>28</v>
      </c>
      <c r="C16" s="8" t="s">
        <v>29</v>
      </c>
      <c r="D16" s="10" t="n">
        <v>4.88</v>
      </c>
      <c r="E16" s="8"/>
      <c r="F16" s="8" t="s">
        <v>14</v>
      </c>
      <c r="G16" s="3" t="s">
        <v>30</v>
      </c>
    </row>
    <row r="17" customFormat="false" ht="15" hidden="false" customHeight="true" outlineLevel="0" collapsed="false">
      <c r="B17" s="8" t="s">
        <v>31</v>
      </c>
      <c r="C17" s="8" t="s">
        <v>29</v>
      </c>
      <c r="D17" s="10" t="n">
        <v>6.52</v>
      </c>
      <c r="E17" s="8"/>
      <c r="F17" s="8" t="s">
        <v>14</v>
      </c>
      <c r="G17" s="3" t="s">
        <v>32</v>
      </c>
    </row>
    <row r="18" customFormat="false" ht="15" hidden="false" customHeight="true" outlineLevel="0" collapsed="false">
      <c r="B18" s="8" t="s">
        <v>33</v>
      </c>
      <c r="C18" s="8" t="s">
        <v>34</v>
      </c>
      <c r="D18" s="10" t="n">
        <v>4.9</v>
      </c>
      <c r="E18" s="8"/>
      <c r="F18" s="8" t="s">
        <v>35</v>
      </c>
      <c r="G18" s="3" t="s">
        <v>36</v>
      </c>
    </row>
    <row r="21" customFormat="false" ht="18" hidden="false" customHeight="true" outlineLevel="0" collapsed="false">
      <c r="B21" s="6" t="s">
        <v>37</v>
      </c>
      <c r="C21" s="7"/>
      <c r="D21" s="7"/>
      <c r="E21" s="7"/>
      <c r="F21" s="7"/>
      <c r="G21" s="7"/>
    </row>
    <row r="22" customFormat="false" ht="15" hidden="false" customHeight="true" outlineLevel="0" collapsed="false">
      <c r="B22" s="6" t="s">
        <v>6</v>
      </c>
      <c r="C22" s="6" t="s">
        <v>7</v>
      </c>
      <c r="D22" s="6" t="s">
        <v>8</v>
      </c>
      <c r="E22" s="6" t="s">
        <v>9</v>
      </c>
      <c r="F22" s="6" t="s">
        <v>10</v>
      </c>
      <c r="G22" s="6" t="s">
        <v>11</v>
      </c>
    </row>
    <row r="23" customFormat="false" ht="15" hidden="false" customHeight="true" outlineLevel="0" collapsed="false">
      <c r="B23" s="8" t="s">
        <v>38</v>
      </c>
      <c r="C23" s="8" t="s">
        <v>39</v>
      </c>
      <c r="D23" s="10" t="n">
        <v>100.32</v>
      </c>
      <c r="E23" s="8"/>
      <c r="F23" s="8" t="s">
        <v>14</v>
      </c>
      <c r="G23" s="3" t="s">
        <v>40</v>
      </c>
    </row>
    <row r="24" customFormat="false" ht="15" hidden="false" customHeight="true" outlineLevel="0" collapsed="false">
      <c r="B24" s="8" t="s">
        <v>41</v>
      </c>
      <c r="C24" s="8" t="s">
        <v>39</v>
      </c>
      <c r="D24" s="10" t="n">
        <v>8.63</v>
      </c>
      <c r="E24" s="8"/>
      <c r="F24" s="8" t="s">
        <v>14</v>
      </c>
      <c r="G24" s="3" t="s">
        <v>42</v>
      </c>
    </row>
    <row r="27" customFormat="false" ht="15" hidden="false" customHeight="true" outlineLevel="0" collapsed="false">
      <c r="B27" s="4" t="s">
        <v>43</v>
      </c>
      <c r="C27" s="4"/>
      <c r="D27" s="4"/>
      <c r="E27" s="4"/>
      <c r="F27" s="4"/>
      <c r="G27" s="4"/>
    </row>
    <row r="28" customFormat="false" ht="15" hidden="false" customHeight="true" outlineLevel="0" collapsed="false">
      <c r="B28" s="4"/>
      <c r="C28" s="4"/>
      <c r="D28" s="4"/>
      <c r="E28" s="4"/>
      <c r="F28" s="4"/>
      <c r="G28" s="4"/>
    </row>
    <row r="29" customFormat="false" ht="15" hidden="false" customHeight="true" outlineLevel="0" collapsed="false">
      <c r="B29" s="4"/>
      <c r="C29" s="4"/>
      <c r="D29" s="4"/>
      <c r="E29" s="4"/>
      <c r="F29" s="4"/>
      <c r="G29" s="4"/>
    </row>
    <row r="30" customFormat="false" ht="15" hidden="false" customHeight="true" outlineLevel="0" collapsed="false">
      <c r="B30" s="4"/>
      <c r="C30" s="4"/>
      <c r="D30" s="4"/>
      <c r="E30" s="4"/>
      <c r="F30" s="4"/>
      <c r="G30" s="4"/>
    </row>
    <row r="31" customFormat="false" ht="15" hidden="false" customHeight="true" outlineLevel="0" collapsed="false">
      <c r="B31" s="4"/>
      <c r="C31" s="4"/>
      <c r="D31" s="4"/>
      <c r="E31" s="4"/>
      <c r="F31" s="4"/>
      <c r="G31" s="4"/>
    </row>
    <row r="33" customFormat="false" ht="39" hidden="false" customHeight="true" outlineLevel="0" collapsed="false">
      <c r="B33" s="14" t="s">
        <v>44</v>
      </c>
      <c r="C33" s="14"/>
      <c r="D33" s="14"/>
      <c r="E33" s="14"/>
      <c r="F33" s="14"/>
      <c r="G33" s="14"/>
    </row>
  </sheetData>
  <mergeCells count="2">
    <mergeCell ref="B27:G31"/>
    <mergeCell ref="B33:G33"/>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2"/>
    <col collapsed="false" customWidth="true" hidden="false" outlineLevel="0" max="6" min="3" style="1" width="16"/>
  </cols>
  <sheetData>
    <row r="2" customFormat="false" ht="18" hidden="false" customHeight="true" outlineLevel="0" collapsed="false">
      <c r="B2" s="2" t="s">
        <v>45</v>
      </c>
    </row>
    <row r="3" customFormat="false" ht="15" hidden="false" customHeight="true" outlineLevel="0" collapsed="false">
      <c r="B3" s="5" t="s">
        <v>46</v>
      </c>
    </row>
    <row r="5" customFormat="false" ht="15" hidden="false" customHeight="true" outlineLevel="0" collapsed="false">
      <c r="B5" s="15" t="s">
        <v>47</v>
      </c>
      <c r="C5" s="16" t="n">
        <v>4295</v>
      </c>
    </row>
    <row r="6" customFormat="false" ht="15" hidden="false" customHeight="true" outlineLevel="0" collapsed="false">
      <c r="B6" s="15" t="s">
        <v>48</v>
      </c>
      <c r="C6" s="16" t="n">
        <v>8430</v>
      </c>
    </row>
    <row r="7" customFormat="false" ht="15" hidden="false" customHeight="true" outlineLevel="0" collapsed="false">
      <c r="B7" s="15" t="s">
        <v>49</v>
      </c>
      <c r="C7" s="17" t="n">
        <v>683.34</v>
      </c>
    </row>
    <row r="9" customFormat="false" ht="15" hidden="false" customHeight="true" outlineLevel="0" collapsed="false">
      <c r="B9" s="6" t="s">
        <v>50</v>
      </c>
      <c r="C9" s="6" t="s">
        <v>51</v>
      </c>
      <c r="D9" s="6" t="s">
        <v>52</v>
      </c>
      <c r="E9" s="6" t="s">
        <v>53</v>
      </c>
      <c r="F9" s="6" t="s">
        <v>54</v>
      </c>
    </row>
    <row r="10" customFormat="false" ht="15" hidden="false" customHeight="true" outlineLevel="0" collapsed="false">
      <c r="B10" s="15" t="s">
        <v>55</v>
      </c>
      <c r="C10" s="18" t="n">
        <v>14.1</v>
      </c>
      <c r="D10" s="19" t="n">
        <f aca="false">$C$5*C10</f>
        <v>60559.5</v>
      </c>
      <c r="E10" s="19" t="n">
        <f aca="false">D10-$C$6</f>
        <v>52129.5</v>
      </c>
      <c r="F10" s="20" t="n">
        <f aca="false">E10/$C$7</f>
        <v>76.2863289138643</v>
      </c>
    </row>
    <row r="11" customFormat="false" ht="15" hidden="false" customHeight="true" outlineLevel="0" collapsed="false">
      <c r="B11" s="15" t="s">
        <v>56</v>
      </c>
      <c r="C11" s="18" t="n">
        <v>12.7</v>
      </c>
      <c r="D11" s="19" t="n">
        <f aca="false">$C$5*C11</f>
        <v>54546.5</v>
      </c>
      <c r="E11" s="19" t="n">
        <f aca="false">D11-$C$6</f>
        <v>46116.5</v>
      </c>
      <c r="F11" s="20" t="n">
        <f aca="false">E11/$C$7</f>
        <v>67.4869025668042</v>
      </c>
    </row>
    <row r="12" customFormat="false" ht="15" hidden="false" customHeight="true" outlineLevel="0" collapsed="false">
      <c r="B12" s="15" t="s">
        <v>57</v>
      </c>
      <c r="C12" s="18" t="n">
        <v>9.25</v>
      </c>
      <c r="D12" s="19" t="n">
        <f aca="false">$C$5*C12</f>
        <v>39728.75</v>
      </c>
      <c r="E12" s="19" t="n">
        <f aca="false">D12-$C$6</f>
        <v>31298.75</v>
      </c>
      <c r="F12" s="20" t="n">
        <f aca="false">E12/$C$7</f>
        <v>45.8026019258349</v>
      </c>
    </row>
    <row r="13" customFormat="false" ht="15" hidden="false" customHeight="true" outlineLevel="0" collapsed="false">
      <c r="B13" s="15" t="s">
        <v>58</v>
      </c>
      <c r="C13" s="15" t="s">
        <v>59</v>
      </c>
      <c r="D13" s="16" t="n">
        <v>65913.77</v>
      </c>
      <c r="E13" s="19" t="n">
        <f aca="false">D13-$C$6</f>
        <v>57483.77</v>
      </c>
      <c r="F13" s="20" t="n">
        <f aca="false">E13/$C$7</f>
        <v>84.1217695437118</v>
      </c>
    </row>
    <row r="14" customFormat="false" ht="15" hidden="false" customHeight="true" outlineLevel="0" collapsed="false">
      <c r="B14" s="15" t="s">
        <v>60</v>
      </c>
      <c r="F14" s="21" t="n">
        <v>59.5</v>
      </c>
    </row>
    <row r="17" customFormat="false" ht="15" hidden="false" customHeight="true" outlineLevel="0" collapsed="false">
      <c r="B17" s="11" t="s">
        <v>61</v>
      </c>
    </row>
    <row r="18" customFormat="false" ht="15" hidden="false" customHeight="true" outlineLevel="0" collapsed="false">
      <c r="B18" s="15" t="s">
        <v>62</v>
      </c>
      <c r="C18" s="20" t="n">
        <f aca="false">F12</f>
        <v>45.8026019258349</v>
      </c>
    </row>
    <row r="19" customFormat="false" ht="15" hidden="false" customHeight="true" outlineLevel="0" collapsed="false">
      <c r="B19" s="15" t="s">
        <v>63</v>
      </c>
      <c r="C19" s="20" t="n">
        <f aca="false">F13</f>
        <v>84.1217695437118</v>
      </c>
    </row>
    <row r="20" customFormat="false" ht="15" hidden="false" customHeight="true" outlineLevel="0" collapsed="false">
      <c r="B20" s="15" t="s">
        <v>64</v>
      </c>
      <c r="C20" s="20" t="n">
        <f aca="false">F14</f>
        <v>59.5</v>
      </c>
    </row>
    <row r="23" customFormat="false" ht="15" hidden="false" customHeight="true" outlineLevel="0" collapsed="false">
      <c r="B23" s="4" t="s">
        <v>65</v>
      </c>
      <c r="C23" s="4"/>
      <c r="D23" s="4"/>
      <c r="E23" s="4"/>
      <c r="F23" s="4"/>
    </row>
    <row r="24" customFormat="false" ht="15" hidden="false" customHeight="true" outlineLevel="0" collapsed="false">
      <c r="B24" s="4"/>
      <c r="C24" s="4"/>
      <c r="D24" s="4"/>
      <c r="E24" s="4"/>
      <c r="F24" s="4"/>
    </row>
    <row r="25" customFormat="false" ht="15" hidden="false" customHeight="true" outlineLevel="0" collapsed="false">
      <c r="B25" s="4"/>
      <c r="C25" s="4"/>
      <c r="D25" s="4"/>
      <c r="E25" s="4"/>
      <c r="F25" s="4"/>
    </row>
    <row r="26" customFormat="false" ht="15" hidden="false" customHeight="true" outlineLevel="0" collapsed="false">
      <c r="B26" s="4"/>
      <c r="C26" s="4"/>
      <c r="D26" s="4"/>
      <c r="E26" s="4"/>
      <c r="F26" s="4"/>
    </row>
  </sheetData>
  <mergeCells count="1">
    <mergeCell ref="B23:F26"/>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2026-10-12T16:55:19Z</dcterms:created>
  <dc:creator>openpyxl</dc:creator>
  <dc:description/>
  <dc:language>en-US</dc:language>
  <cp:lastModifiedBy/>
  <dcterms:modified xsi:type="dcterms:W3CDTF">2026-10-13T11:33:08Z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