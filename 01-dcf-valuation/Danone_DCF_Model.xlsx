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Dashboard" sheetId="2" state="visible" r:id="rId4"/>
    <sheet name="Assumptions" sheetId="3" state="visible" r:id="rId5"/>
    <sheet name="Financials" sheetId="4" state="visible" r:id="rId6"/>
    <sheet name="DCF" sheetId="5" state="visible" r:id="rId7"/>
    <sheet name="Sensitivity" sheetId="6" state="visible" r:id="rId8"/>
    <sheet name="Checks" sheetId="7" state="visible" r:id="rId9"/>
  </sheets>
  <definedNames>
    <definedName function="false" hidden="false" localSheetId="2" name="_xlnm.Print_Area" vbProcedure="false">Assumptions!$A$1:$G$43</definedName>
    <definedName function="false" hidden="false" localSheetId="6" name="_xlnm.Print_Area" vbProcedure="false">Checks!$A$1:$E$30</definedName>
    <definedName function="false" hidden="false" localSheetId="0" name="_xlnm.Print_Area" vbProcedure="false">Cover!$A$1:$F$27</definedName>
    <definedName function="false" hidden="false" localSheetId="1" name="_xlnm.Print_Area" vbProcedure="false">Dashboard!$A$1:$N$33</definedName>
    <definedName function="false" hidden="false" localSheetId="4" name="_xlnm.Print_Area" vbProcedure="false">DCF!$A$1:$G$30</definedName>
    <definedName function="false" hidden="false" localSheetId="3" name="_xlnm.Print_Area" vbProcedure="false">Financials!$A$1:$S$21</definedName>
    <definedName function="false" hidden="false" localSheetId="5" name="_xlnm.Print_Area" vbProcedure="false">Sensitivity!$A$1:$G$16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<sst xmlns="http://schemas.openxmlformats.org/spreadsheetml/2006/main" count="158" uniqueCount="138">
  <si>
    <t xml:space="preserve">Danone (Euronext Paris : BN) - DCF à 2 étages</t>
  </si>
  <si>
    <t xml:space="preserve">Exercice personnel de valorisation - Yvann Ahoure</t>
  </si>
  <si>
    <t xml:space="preserve">Toutes les valeurs sont en millions d'euros (M€), sauf mention contraire.</t>
  </si>
  <si>
    <t xml:space="preserve">Sommaire</t>
  </si>
  <si>
    <t xml:space="preserve">Dashboard</t>
  </si>
  <si>
    <t xml:space="preserve">Synthèse : valeur implicite, écart au marché, sensibilités, contrôles</t>
  </si>
  <si>
    <t xml:space="preserve">Assumptions</t>
  </si>
  <si>
    <t xml:space="preserve">Hypothèses de projection, WACC (CAPM) et données de marché</t>
  </si>
  <si>
    <t xml:space="preserve">Financials</t>
  </si>
  <si>
    <t xml:space="preserve">Compte de résultat et flux de trésorerie simplifiés, FY2023-FY2025</t>
  </si>
  <si>
    <t xml:space="preserve">DCF</t>
  </si>
  <si>
    <t xml:space="preserve">DCF à 2 étages : FCF explicite 5 ans + valeur terminale</t>
  </si>
  <si>
    <t xml:space="preserve">Sensitivity</t>
  </si>
  <si>
    <t xml:space="preserve">Sensibilité de la valeur par action au WACC et à la croissance terminale</t>
  </si>
  <si>
    <t xml:space="preserve">Checks</t>
  </si>
  <si>
    <t xml:space="preserve">Contrôles de cohérence du modèle</t>
  </si>
  <si>
    <t xml:space="preserve">Sources</t>
  </si>
  <si>
    <t xml:space="preserve">- Danone, communiqué de résultats annuels FY2025 "2025: Another year of strong delivery" (20/02/2026).</t>
  </si>
  <si>
    <t xml:space="preserve">- Danone, document de consensus analystes Q2/H1 FY2026 (danone.com/investors, 16 analystes).</t>
  </si>
  <si>
    <t xml:space="preserve">- Boursorama (cours, capitalisation) - relevé le 12/10/2026.</t>
  </si>
  <si>
    <t xml:space="preserve">- stockanalysis.com et valueinvesting.io (bêta, comparables WACC) - relevés le 12/10/2026.</t>
  </si>
  <si>
    <t xml:space="preserve">- tradingeconomics.com (taux souverain français à 10 ans, OAT) - relevé le 12/10/2026.</t>
  </si>
  <si>
    <t xml:space="preserve">- marketscreener.com (multiples EV/EBITDA Nestlé, Unilever, General Mills) - relevé oct. 2026.</t>
  </si>
  <si>
    <t xml:space="preserve">Avertissement : hypothèses de projection (au-delà du consensus 2026), prime de risque actions et croissance terminale sont des estimations personnelles, clairement identifiées comme telles dans l'onglet Assumptions. N'importe quelle incohérence de source (ex. dette nette, bêta) est signalée explicitement plutôt que lissée.</t>
  </si>
  <si>
    <t xml:space="preserve">Dashboard - Danone (EPA : BN)</t>
  </si>
  <si>
    <t xml:space="preserve">RÉSULTATS CLÉS</t>
  </si>
  <si>
    <t xml:space="preserve">Valeur implicite par action (DCF)</t>
  </si>
  <si>
    <t xml:space="preserve">Cours de marché actuel</t>
  </si>
  <si>
    <t xml:space="preserve">Écart DCF vs marché</t>
  </si>
  <si>
    <t xml:space="preserve">Valeur d'entreprise (EV)</t>
  </si>
  <si>
    <t xml:space="preserve">Valeur des fonds propres</t>
  </si>
  <si>
    <t xml:space="preserve">WACC retenu</t>
  </si>
  <si>
    <t xml:space="preserve">Croissance terminale</t>
  </si>
  <si>
    <t xml:space="preserve">VE/EBITDA implicite du DCF</t>
  </si>
  <si>
    <t xml:space="preserve">VE/EBITDA de marché (calculé)</t>
  </si>
  <si>
    <t xml:space="preserve">COMPARABLES BOURSIERS (CONTEXTE)</t>
  </si>
  <si>
    <t xml:space="preserve">marketscreener.com, oct. 2026</t>
  </si>
  <si>
    <t xml:space="preserve">Danone (VE/EBITDA de marché, calculé)</t>
  </si>
  <si>
    <t xml:space="preserve">Danone</t>
  </si>
  <si>
    <t xml:space="preserve">Nestlé (FY2025)</t>
  </si>
  <si>
    <t xml:space="preserve">Nestlé</t>
  </si>
  <si>
    <t xml:space="preserve">Unilever (FY2025)</t>
  </si>
  <si>
    <t xml:space="preserve">Unilever</t>
  </si>
  <si>
    <t xml:space="preserve">General Mills (FY2026, année fiscale mai)</t>
  </si>
  <si>
    <t xml:space="preserve">General Mills</t>
  </si>
  <si>
    <t xml:space="preserve">CONTRÔLES DU MODÈLE</t>
  </si>
  <si>
    <t xml:space="preserve">Voir le détail des contrôles</t>
  </si>
  <si>
    <t xml:space="preserve">Hypothèses</t>
  </si>
  <si>
    <t xml:space="preserve">DONNÉES DE DÉPART (FY2025, exercice clos le 31/12/2025)</t>
  </si>
  <si>
    <t xml:space="preserve">Chiffre d'affaires net FY2025</t>
  </si>
  <si>
    <t xml:space="preserve">Communiqué FY2025, 20/02/2026</t>
  </si>
  <si>
    <t xml:space="preserve">Free cash-flow FY2025 (communiqué par la société)</t>
  </si>
  <si>
    <t xml:space="preserve">Communiqué FY2025</t>
  </si>
  <si>
    <t xml:space="preserve">Résultat opérationnel courant FY2025</t>
  </si>
  <si>
    <t xml:space="preserve">Communiqué FY2025 (marge 13,4 %)</t>
  </si>
  <si>
    <t xml:space="preserve">EBITDA FY2025 (calculé : résultat opérationnel + D&amp;A)</t>
  </si>
  <si>
    <t xml:space="preserve">Calcul perso ; Danone ne publie pas l'EBITDA en ligne dédiée</t>
  </si>
  <si>
    <t xml:space="preserve">Dette financière nette FY2025</t>
  </si>
  <si>
    <t xml:space="preserve">Communiqué FY2025 ; fourchette des sources 8 059-8 547 M€, voir note</t>
  </si>
  <si>
    <t xml:space="preserve">Cours de l'action (12/10/2026)</t>
  </si>
  <si>
    <t xml:space="preserve">Boursorama</t>
  </si>
  <si>
    <t xml:space="preserve">Capitalisation boursière (12/10/2026)</t>
  </si>
  <si>
    <t xml:space="preserve">Bêta retenu (ajusté)</t>
  </si>
  <si>
    <t xml:space="preserve">valueinvesting.io ; stockanalysis.com affiche 0,20 (écarté, hors norme)</t>
  </si>
  <si>
    <t xml:space="preserve">Actions en circulation (calculé = capitalisation / cours, M)</t>
  </si>
  <si>
    <t xml:space="preserve">Base cohérente avec la capitalisation ; diffère du nombre moyen pondéré dilué (645 M) utilisé pour l'EPS</t>
  </si>
  <si>
    <t xml:space="preserve">WACC - MÉTHODE CAPM</t>
  </si>
  <si>
    <t xml:space="preserve">Taux sans risque (OAT France 10 ans)</t>
  </si>
  <si>
    <t xml:space="preserve">tradingeconomics.com - niveau élevé pour une dette souveraine ; voir note ci-dessous</t>
  </si>
  <si>
    <t xml:space="preserve">Prime de risque actions (ERP)</t>
  </si>
  <si>
    <t xml:space="preserve">Hypothèse standard de marché (type Damodaran), non sourcée spécifiquement</t>
  </si>
  <si>
    <t xml:space="preserve">Bêta retenu</t>
  </si>
  <si>
    <t xml:space="preserve">valueinvesting.io (ajusté)</t>
  </si>
  <si>
    <t xml:space="preserve">Coût de la dette avant impôt</t>
  </si>
  <si>
    <t xml:space="preserve">valueinvesting.io (estimation, aucune émission récente identifiée)</t>
  </si>
  <si>
    <t xml:space="preserve">Taux d'IS France</t>
  </si>
  <si>
    <t xml:space="preserve">Taux normal de l'impôt sur les sociétés en France</t>
  </si>
  <si>
    <t xml:space="preserve">Coût des fonds propres (CAPM)</t>
  </si>
  <si>
    <t xml:space="preserve">Coût de la dette après impôt</t>
  </si>
  <si>
    <t xml:space="preserve">Poids des fonds propres (E / (E+D))</t>
  </si>
  <si>
    <t xml:space="preserve">Poids de la dette (D / (E+D))</t>
  </si>
  <si>
    <t xml:space="preserve">WACC</t>
  </si>
  <si>
    <t xml:space="preserve">Hypothèse personnelle, cohérente avec une croissance nominale long terme en zone euro</t>
  </si>
  <si>
    <t xml:space="preserve">Note sur le taux sans risque : l'OAT française à 10 ans se traite début octobre 2026 autour de 4,9 %, un niveau historiquement élevé (risque souverain/budgétaire) plutôt qu'un taux sans risque "propre". Le garder tel quel est prudent (WACC plus élevé, valorisation plus conservatrice) ; un taux allemand (Bund 10 ans) donnerait un WACC et une valeur implicite plus hauts.</t>
  </si>
  <si>
    <t xml:space="preserve">TRAJECTOIRE DE CROISSANCE (hypothèses personnelles au-delà de 2026)</t>
  </si>
  <si>
    <t xml:space="preserve">Année</t>
  </si>
  <si>
    <t xml:space="preserve">2026</t>
  </si>
  <si>
    <t xml:space="preserve">2027</t>
  </si>
  <si>
    <t xml:space="preserve">2028</t>
  </si>
  <si>
    <t xml:space="preserve">2029</t>
  </si>
  <si>
    <t xml:space="preserve">2030</t>
  </si>
  <si>
    <t xml:space="preserve">Croissance du chiffre d'affaires (%)</t>
  </si>
  <si>
    <t xml:space="preserve">Marge de free cash-flow (%)</t>
  </si>
  <si>
    <t xml:space="preserve">2026 : guidance société (ventes LFL +3 % à +5 %) et consensus analystes (croissance publiée médiane +3,0 %).</t>
  </si>
  <si>
    <t xml:space="preserve">2027-2028 : hypothèse personnelle au milieu de la fourchette de guidance (+3,5 %).</t>
  </si>
  <si>
    <t xml:space="preserve">2029-2030 : ralentissement progressif vers la croissance terminale.</t>
  </si>
  <si>
    <t xml:space="preserve">Marge de FCF : hypothèse personnelle d'amélioration progressive, cohérente avec la guidance "résultat opérationnel courant croît plus vite que les ventes". FY2025 réel = 10,3 % (2 799 / 27 283).</t>
  </si>
  <si>
    <t xml:space="preserve">Compte de résultat et flux de trésorerie simplifiés</t>
  </si>
  <si>
    <t xml:space="preserve">COMPTE DE RÉSULTAT</t>
  </si>
  <si>
    <t xml:space="preserve">FY2023A</t>
  </si>
  <si>
    <t xml:space="preserve">FY2024A</t>
  </si>
  <si>
    <t xml:space="preserve">FY2025A</t>
  </si>
  <si>
    <t xml:space="preserve">Chiffre d'affaires net</t>
  </si>
  <si>
    <t xml:space="preserve">Résultat opérationnel courant</t>
  </si>
  <si>
    <t xml:space="preserve">Résultat net, part du Groupe</t>
  </si>
  <si>
    <t xml:space="preserve">Marge opérationnelle courante (%)</t>
  </si>
  <si>
    <t xml:space="preserve">FLUX DE TRÉSORERIE</t>
  </si>
  <si>
    <t xml:space="preserve">Free cash-flow (communiqué par la société)</t>
  </si>
  <si>
    <t xml:space="preserve">Marge de FCF (%)</t>
  </si>
  <si>
    <t xml:space="preserve">Source : communiqués de résultats annuels Danone FY2023 (févr. 2024), FY2024 (févr. 2025) et FY2025 (20/02/2026). Le FY2024 figurant ici est la base de comparaison republiée dans le communiqué FY2025 (27 376 M€), qui peut différer légèrement du chiffre publié à l'origine en 2025 du fait de reclassements mineurs.</t>
  </si>
  <si>
    <t xml:space="preserve">DCF à 2 étages</t>
  </si>
  <si>
    <t xml:space="preserve">Chiffre d'affaires</t>
  </si>
  <si>
    <t xml:space="preserve">Free cash-flow</t>
  </si>
  <si>
    <t xml:space="preserve">Facteur d'actualisation</t>
  </si>
  <si>
    <t xml:space="preserve">VA du free cash-flow</t>
  </si>
  <si>
    <t xml:space="preserve">VALEUR D'ENTREPRISE ET VALEUR DES FONDS PROPRES</t>
  </si>
  <si>
    <t xml:space="preserve">Somme des VA du FCF explicite (2026-2030)</t>
  </si>
  <si>
    <t xml:space="preserve">Valeur terminale (Gordon growth, non actualisée)</t>
  </si>
  <si>
    <t xml:space="preserve">VA de la valeur terminale</t>
  </si>
  <si>
    <t xml:space="preserve">- Dette financière nette</t>
  </si>
  <si>
    <t xml:space="preserve">-&gt; Valeur des fonds propres</t>
  </si>
  <si>
    <t xml:space="preserve">/ Actions en circulation (M)</t>
  </si>
  <si>
    <t xml:space="preserve">-&gt; Valeur implicite par action</t>
  </si>
  <si>
    <t xml:space="preserve">Écart DCF vs marché (%)</t>
  </si>
  <si>
    <t xml:space="preserve">Lecture : le DCF ressort nettement au-dessus du cours de marché (écart positif), avec un multiple VE/EBITDA implicite plus proche de celui des grands comparables mondiaux (Nestlé ~14x, Unilever ~13x, voir onglet Checks) que le multiple de marché actuel de Danone. Point de prudence : le taux sans risque utilisé (OAT France, ~4,9 %) est élevé par rapport à sa moyenne longue, ce qui tend plutôt à réduire la valeur implicite - l'écart constaté n'est donc pas un artefact d'un WACC trop bas.</t>
  </si>
  <si>
    <t xml:space="preserve">Sensibilité - valeur implicite par action (€)</t>
  </si>
  <si>
    <t xml:space="preserve">WACC \ g terminale</t>
  </si>
  <si>
    <t xml:space="preserve">Formule : somme des FCF actualisés sur la trajectoire de l'onglet DCF + valeur terminale (Gordon growth) au couple (WACC, g), moins la dette nette, divisé par le nombre d'actions.</t>
  </si>
  <si>
    <t xml:space="preserve">Contrôle</t>
  </si>
  <si>
    <t xml:space="preserve">Résultat</t>
  </si>
  <si>
    <t xml:space="preserve">Croissance terminale &lt; WACC (sinon valeur terminale indéfinie)</t>
  </si>
  <si>
    <t xml:space="preserve">Poids E/V + D/V = 100 %</t>
  </si>
  <si>
    <t xml:space="preserve">Toutes les marges de FCF projetées sont strictement positives</t>
  </si>
  <si>
    <t xml:space="preserve">VE recalculée (somme VA FCF + VA valeur terminale) = DCF!C17</t>
  </si>
  <si>
    <t xml:space="preserve">Actions en circulation cohérentes avec la capitalisation (à 1 % près)</t>
  </si>
  <si>
    <t xml:space="preserve">Valeur des fonds propres positive</t>
  </si>
  <si>
    <t xml:space="preserve">Synthèse</t>
  </si>
  <si>
    <t xml:space="preserve">Note : ces contrôles vérifient la cohérence interne du modèle (pas d'erreur de construction), pas la justesse des hypothèses elles-mêmes. Les hypothèses de croissance et de marge restent des choix personnels, documentés et sourcés dans l'onglet Assumptions.</t>
  </si>
</sst>
</file>

<file path=xl/styles.xml><?xml version="1.0" encoding="utf-8"?>
<styleSheet xmlns="http://schemas.openxmlformats.org/spreadsheetml/2006/main">
  <numFmts count="12">
    <numFmt numFmtId="164" formatCode="General"/>
    <numFmt numFmtId="165" formatCode="#,##0.00&quot; €&quot;"/>
    <numFmt numFmtId="166" formatCode="0.0%;\(0.0%\);\-"/>
    <numFmt numFmtId="167" formatCode="#,##0;\(#,##0\);\-"/>
    <numFmt numFmtId="168" formatCode="0.00\x;\(0.00&quot;x)&quot;;\-"/>
    <numFmt numFmtId="169" formatCode="0.0\x;\(0.0&quot;x)&quot;;\-"/>
    <numFmt numFmtId="170" formatCode="#,##0&quot; €&quot;"/>
    <numFmt numFmtId="171" formatCode="0.0\x"/>
    <numFmt numFmtId="172" formatCode="0.00"/>
    <numFmt numFmtId="173" formatCode="#,##0.0;\(#,##0.0\);\-"/>
    <numFmt numFmtId="174" formatCode="0.000"/>
    <numFmt numFmtId="175" formatCode="#,##0.0&quot; €&quot;"/>
  </numFmts>
  <fonts count="21">
    <font>
      <sz val="11"/>
      <color theme="1"/>
      <name val="Calibri"/>
      <family val="2"/>
      <charset val="1"/>
    </font>
    <font>
      <sz val="10"/>
      <name val="Arial"/>
      <family val="0"/>
    </font>
    <font>
      <sz val="10"/>
      <name val="Arial"/>
      <family val="0"/>
    </font>
    <font>
      <sz val="10"/>
      <name val="Arial"/>
      <family val="0"/>
    </font>
    <font>
      <b val="true"/>
      <sz val="15"/>
      <color rgb="FF1F3864"/>
      <name val="Arial"/>
      <family val="0"/>
      <charset val="1"/>
    </font>
    <font>
      <i val="true"/>
      <sz val="9"/>
      <color rgb="FF666666"/>
      <name val="Arial"/>
      <family val="0"/>
      <charset val="1"/>
    </font>
    <font>
      <i val="true"/>
      <sz val="8"/>
      <color rgb="FF7F7F7F"/>
      <name val="Arial"/>
      <family val="0"/>
      <charset val="1"/>
    </font>
    <font>
      <b val="true"/>
      <sz val="11"/>
      <color rgb="FF1F3864"/>
      <name val="Arial"/>
      <family val="0"/>
      <charset val="1"/>
    </font>
    <font>
      <b val="true"/>
      <sz val="10"/>
      <color rgb="FF0000FF"/>
      <name val="Arial"/>
      <family val="0"/>
      <charset val="1"/>
    </font>
    <font>
      <sz val="10"/>
      <color rgb="FF000000"/>
      <name val="Arial"/>
      <family val="0"/>
      <charset val="1"/>
    </font>
    <font>
      <b val="true"/>
      <sz val="10"/>
      <color rgb="FFFFFFFF"/>
      <name val="Arial"/>
      <family val="0"/>
      <charset val="1"/>
    </font>
    <font>
      <sz val="11"/>
      <color theme="1"/>
      <name val="Arial"/>
      <family val="0"/>
      <charset val="1"/>
    </font>
    <font>
      <b val="true"/>
      <sz val="10"/>
      <name val="Arial"/>
      <family val="0"/>
      <charset val="1"/>
    </font>
    <font>
      <b val="true"/>
      <sz val="11"/>
      <name val="Cambria"/>
      <family val="0"/>
      <charset val="1"/>
    </font>
    <font>
      <sz val="1"/>
      <color rgb="FFFFFFFF"/>
      <name val="Cambria"/>
      <family val="0"/>
      <charset val="1"/>
    </font>
    <font>
      <sz val="10"/>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8000"/>
      <name val="Arial"/>
      <family val="0"/>
      <charset val="1"/>
    </font>
    <font>
      <b val="true"/>
      <sz val="10"/>
      <color rgb="FF0F6B5C"/>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DE7"/>
        <bgColor rgb="FFFF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5" fontId="12" fillId="0" borderId="1" xfId="0" applyFont="true" applyBorder="true" applyAlignment="true" applyProtection="false">
      <alignment horizontal="right" vertical="center" textRotation="0" wrapText="false" indent="0" shrinkToFit="false"/>
      <protection locked="true" hidden="false"/>
    </xf>
    <xf numFmtId="166" fontId="13" fillId="0" borderId="1" xfId="0" applyFont="true" applyBorder="true" applyAlignment="true" applyProtection="false">
      <alignment horizontal="right" vertical="center" textRotation="0" wrapText="false" indent="0" shrinkToFit="false"/>
      <protection locked="true" hidden="false"/>
    </xf>
    <xf numFmtId="167" fontId="12" fillId="0" borderId="1" xfId="0" applyFont="true" applyBorder="true" applyAlignment="true" applyProtection="false">
      <alignment horizontal="right" vertical="center" textRotation="0" wrapText="false" indent="0" shrinkToFit="false"/>
      <protection locked="true" hidden="false"/>
    </xf>
    <xf numFmtId="166" fontId="12" fillId="0" borderId="1" xfId="0" applyFont="true" applyBorder="true" applyAlignment="true" applyProtection="false">
      <alignment horizontal="right" vertical="center" textRotation="0" wrapText="false" indent="0" shrinkToFit="false"/>
      <protection locked="true" hidden="false"/>
    </xf>
    <xf numFmtId="168" fontId="12" fillId="0" borderId="1" xfId="0" applyFont="true" applyBorder="true" applyAlignment="true" applyProtection="false">
      <alignment horizontal="right" vertical="center"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9" fontId="12" fillId="0" borderId="1" xfId="0" applyFont="true" applyBorder="true" applyAlignment="true" applyProtection="false">
      <alignment horizontal="right"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9" fontId="15" fillId="3" borderId="1" xfId="0" applyFont="true" applyBorder="true" applyAlignment="true" applyProtection="false">
      <alignment horizontal="right" vertical="center"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7" fontId="15" fillId="3" borderId="0" xfId="0" applyFont="true" applyBorder="false" applyAlignment="true" applyProtection="false">
      <alignment horizontal="general" vertical="bottom" textRotation="0" wrapText="false" indent="0" shrinkToFit="false"/>
      <protection locked="true" hidden="false"/>
    </xf>
    <xf numFmtId="165" fontId="15" fillId="3" borderId="0" xfId="0" applyFont="true" applyBorder="false" applyAlignment="true" applyProtection="false">
      <alignment horizontal="general" vertical="bottom" textRotation="0" wrapText="false" indent="0" shrinkToFit="false"/>
      <protection locked="true" hidden="false"/>
    </xf>
    <xf numFmtId="172" fontId="15" fillId="3" borderId="0" xfId="0" applyFont="true" applyBorder="false" applyAlignment="true" applyProtection="false">
      <alignment horizontal="general" vertical="bottom" textRotation="0" wrapText="false" indent="0" shrinkToFit="false"/>
      <protection locked="true" hidden="false"/>
    </xf>
    <xf numFmtId="173" fontId="9" fillId="0" borderId="0" xfId="0" applyFont="true" applyBorder="false" applyAlignment="true" applyProtection="false">
      <alignment horizontal="general" vertical="bottom" textRotation="0" wrapText="false" indent="0" shrinkToFit="false"/>
      <protection locked="true" hidden="false"/>
    </xf>
    <xf numFmtId="166" fontId="15" fillId="3" borderId="0" xfId="0" applyFont="true" applyBorder="false" applyAlignment="tru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general" vertical="bottom" textRotation="0" wrapText="false" indent="0" shrinkToFit="false"/>
      <protection locked="true" hidden="false"/>
    </xf>
    <xf numFmtId="174" fontId="9" fillId="0" borderId="0" xfId="0" applyFont="tru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7" fontId="12" fillId="0" borderId="0" xfId="0" applyFont="true" applyBorder="false" applyAlignment="true" applyProtection="false">
      <alignment horizontal="general" vertical="bottom" textRotation="0" wrapText="false" indent="0" shrinkToFit="false"/>
      <protection locked="true" hidden="false"/>
    </xf>
    <xf numFmtId="167" fontId="19" fillId="0" borderId="0" xfId="0" applyFont="true" applyBorder="false" applyAlignment="true" applyProtection="false">
      <alignment horizontal="general" vertical="bottom" textRotation="0" wrapText="false" indent="0" shrinkToFit="false"/>
      <protection locked="true" hidden="false"/>
    </xf>
    <xf numFmtId="173" fontId="19" fillId="0" borderId="0" xfId="0" applyFont="true" applyBorder="false" applyAlignment="true" applyProtection="false">
      <alignment horizontal="general" vertical="bottom" textRotation="0" wrapText="false" indent="0" shrinkToFit="false"/>
      <protection locked="true" hidden="false"/>
    </xf>
    <xf numFmtId="165" fontId="12" fillId="0" borderId="0" xfId="0" applyFont="true" applyBorder="false" applyAlignment="true" applyProtection="false">
      <alignment horizontal="general" vertical="bottom" textRotation="0" wrapText="false" indent="0" shrinkToFit="false"/>
      <protection locked="true" hidden="false"/>
    </xf>
    <xf numFmtId="165" fontId="19"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75" fontId="11" fillId="0" borderId="0" xfId="0" applyFont="true" applyBorder="false" applyAlignment="true" applyProtection="false">
      <alignment horizontal="general" vertical="bottom" textRotation="0" wrapText="false" indent="0" shrinkToFit="false"/>
      <protection locked="true" hidden="false"/>
    </xf>
    <xf numFmtId="175" fontId="2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b val="1"/>
        <color rgb="FF1E7B34"/>
      </font>
    </dxf>
    <dxf>
      <font>
        <b val="1"/>
        <color rgb="FFB00020"/>
      </font>
    </dxf>
    <dxf>
      <font>
        <name val="Arial"/>
        <charset val="1"/>
        <family val="0"/>
        <b val="1"/>
        <color rgb="FF2E7D32"/>
      </font>
      <fill>
        <patternFill>
          <bgColor rgb="FFE2F0D9"/>
        </patternFill>
      </fill>
    </dxf>
    <dxf>
      <font>
        <name val="Arial"/>
        <charset val="1"/>
        <family val="0"/>
        <b val="1"/>
        <color rgb="FFC62828"/>
      </font>
      <fill>
        <patternFill>
          <bgColor rgb="FFFCE4E4"/>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F6B5C"/>
      <rgbColor rgb="FFBFBFBF"/>
      <rgbColor rgb="FF7F7F7F"/>
      <rgbColor rgb="FF9999FF"/>
      <rgbColor rgb="FF993366"/>
      <rgbColor rgb="FFFFFDE7"/>
      <rgbColor rgb="FFE0E0E0"/>
      <rgbColor rgb="FF660066"/>
      <rgbColor rgb="FFFF8080"/>
      <rgbColor rgb="FF0066CC"/>
      <rgbColor rgb="FFD9D9D9"/>
      <rgbColor rgb="FF000080"/>
      <rgbColor rgb="FFFF00FF"/>
      <rgbColor rgb="FFFFFF00"/>
      <rgbColor rgb="FF00FFFF"/>
      <rgbColor rgb="FF800080"/>
      <rgbColor rgb="FF800000"/>
      <rgbColor rgb="FF1E7B34"/>
      <rgbColor rgb="FF0000FF"/>
      <rgbColor rgb="FF00CCFF"/>
      <rgbColor rgb="FFCCFFFF"/>
      <rgbColor rgb="FFE2F0D9"/>
      <rgbColor rgb="FFFFFF99"/>
      <rgbColor rgb="FF99CCFF"/>
      <rgbColor rgb="FFFF99CC"/>
      <rgbColor rgb="FFCC99FF"/>
      <rgbColor rgb="FFFCE4E4"/>
      <rgbColor rgb="FF4F81BD"/>
      <rgbColor rgb="FF33CCCC"/>
      <rgbColor rgb="FF99CC00"/>
      <rgbColor rgb="FFFFCC00"/>
      <rgbColor rgb="FFFF9900"/>
      <rgbColor rgb="FFC55A11"/>
      <rgbColor rgb="FF666666"/>
      <rgbColor rgb="FFB3B3B3"/>
      <rgbColor rgb="FF1F3864"/>
      <rgbColor rgb="FF2E7D32"/>
      <rgbColor rgb="FF003300"/>
      <rgbColor rgb="FF333300"/>
      <rgbColor rgb="FFC6282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Valeur implicite vs cours de marché (€)</a:t>
            </a:r>
          </a:p>
        </c:rich>
      </c:tx>
      <c:overlay val="0"/>
      <c:spPr>
        <a:noFill/>
        <a:ln w="0">
          <a:noFill/>
        </a:ln>
      </c:spPr>
    </c:title>
    <c:autoTitleDeleted val="0"/>
    <c:plotArea>
      <c:barChart>
        <c:barDir val="col"/>
        <c:grouping val="clustered"/>
        <c:varyColors val="0"/>
        <c:ser>
          <c:idx val="0"/>
          <c:order val="0"/>
          <c:tx>
            <c:strRef>
              <c:f>"Valeur par action"</c:f>
              <c:strCache>
                <c:ptCount val="1"/>
                <c:pt idx="0">
                  <c:v>Valeur par action</c:v>
                </c:pt>
              </c:strCache>
            </c:strRef>
          </c:tx>
          <c:spPr>
            <a:solidFill>
              <a:srgbClr val="4f81bd"/>
            </a:solidFill>
            <a:ln w="0">
              <a:noFill/>
            </a:ln>
          </c:spPr>
          <c:invertIfNegative val="0"/>
          <c:dPt>
            <c:idx val="0"/>
            <c:invertIfNegative val="0"/>
            <c:spPr>
              <a:solidFill>
                <a:srgbClr val="1f3864"/>
              </a:solidFill>
              <a:ln w="0">
                <a:noFill/>
              </a:ln>
            </c:spPr>
          </c:dPt>
          <c:dPt>
            <c:idx val="1"/>
            <c:invertIfNegative val="0"/>
            <c:spPr>
              <a:solidFill>
                <a:srgbClr val="bfbfbf"/>
              </a:solidFill>
              <a:ln w="0">
                <a:noFill/>
              </a:ln>
            </c:spPr>
          </c:dPt>
          <c:dLbls>
            <c:numFmt formatCode="#,##0.00&quot; €&quot;" sourceLinked="1"/>
            <c:dLbl>
              <c:idx val="0"/>
              <c:numFmt formatCode="#,##0.00&quot; €&quot;"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1"/>
              <c:numFmt formatCode="#,##0.00&quot; €&quot;"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Dashboard!$B$6:$B$7</c:f>
              <c:strCache>
                <c:ptCount val="2"/>
                <c:pt idx="0">
                  <c:v>Valeur implicite par action (DCF)</c:v>
                </c:pt>
                <c:pt idx="1">
                  <c:v>Cours de marché actuel</c:v>
                </c:pt>
              </c:strCache>
            </c:strRef>
          </c:cat>
          <c:val>
            <c:numRef>
              <c:f>Dashboard!$D$6:$D$7</c:f>
              <c:numCache>
                <c:formatCode>#,##0.00" €"</c:formatCode>
                <c:ptCount val="2"/>
                <c:pt idx="0">
                  <c:v>84.1212050621768</c:v>
                </c:pt>
                <c:pt idx="1">
                  <c:v>59.5</c:v>
                </c:pt>
              </c:numCache>
            </c:numRef>
          </c:val>
        </c:ser>
        <c:gapWidth val="60"/>
        <c:overlap val="0"/>
        <c:axId val="29553469"/>
        <c:axId val="64204745"/>
      </c:barChart>
      <c:catAx>
        <c:axId val="29553469"/>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64204745"/>
        <c:crosses val="autoZero"/>
        <c:auto val="1"/>
        <c:lblAlgn val="ctr"/>
        <c:lblOffset val="100"/>
        <c:noMultiLvlLbl val="0"/>
      </c:catAx>
      <c:valAx>
        <c:axId val="64204745"/>
        <c:scaling>
          <c:orientation val="minMax"/>
          <c:max val="100"/>
          <c:min val="0"/>
        </c:scaling>
        <c:delete val="0"/>
        <c:axPos val="l"/>
        <c:numFmt formatCode="#,##0&quot; €&quot;"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2955346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VE/EBITDA : Danone vs. comparables</a:t>
            </a:r>
          </a:p>
        </c:rich>
      </c:tx>
      <c:overlay val="0"/>
      <c:spPr>
        <a:noFill/>
        <a:ln w="0">
          <a:noFill/>
        </a:ln>
      </c:spPr>
    </c:title>
    <c:autoTitleDeleted val="0"/>
    <c:plotArea>
      <c:barChart>
        <c:barDir val="col"/>
        <c:grouping val="clustered"/>
        <c:varyColors val="0"/>
        <c:ser>
          <c:idx val="0"/>
          <c:order val="0"/>
          <c:tx>
            <c:strRef>
              <c:f>"VE/EBITDA"</c:f>
              <c:strCache>
                <c:ptCount val="1"/>
                <c:pt idx="0">
                  <c:v>VE/EBITDA</c:v>
                </c:pt>
              </c:strCache>
            </c:strRef>
          </c:tx>
          <c:spPr>
            <a:solidFill>
              <a:srgbClr val="4f81bd"/>
            </a:solidFill>
            <a:ln w="0">
              <a:noFill/>
            </a:ln>
          </c:spPr>
          <c:invertIfNegative val="0"/>
          <c:dPt>
            <c:idx val="0"/>
            <c:invertIfNegative val="0"/>
            <c:spPr>
              <a:solidFill>
                <a:srgbClr val="1f3864"/>
              </a:solidFill>
              <a:ln w="0">
                <a:noFill/>
              </a:ln>
            </c:spPr>
          </c:dPt>
          <c:dPt>
            <c:idx val="1"/>
            <c:invertIfNegative val="0"/>
            <c:spPr>
              <a:solidFill>
                <a:srgbClr val="bfbfbf"/>
              </a:solidFill>
              <a:ln w="0">
                <a:noFill/>
              </a:ln>
            </c:spPr>
          </c:dPt>
          <c:dPt>
            <c:idx val="2"/>
            <c:invertIfNegative val="0"/>
            <c:spPr>
              <a:solidFill>
                <a:srgbClr val="bfbfbf"/>
              </a:solidFill>
              <a:ln w="0">
                <a:noFill/>
              </a:ln>
            </c:spPr>
          </c:dPt>
          <c:dPt>
            <c:idx val="3"/>
            <c:invertIfNegative val="0"/>
            <c:spPr>
              <a:solidFill>
                <a:srgbClr val="bfbfbf"/>
              </a:solidFill>
              <a:ln w="0">
                <a:noFill/>
              </a:ln>
            </c:spPr>
          </c:dPt>
          <c:dLbls>
            <c:numFmt formatCode="0.0\x" sourceLinked="1"/>
            <c:dLbl>
              <c:idx val="0"/>
              <c:numFmt formatCode="0.0\x"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1"/>
              <c:numFmt formatCode="0.0\x"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2"/>
              <c:numFmt formatCode="0.0\x"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3"/>
              <c:numFmt formatCode="0.0\x"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Dashboard!$G$18:$G$21</c:f>
              <c:strCache>
                <c:ptCount val="4"/>
                <c:pt idx="0">
                  <c:v>Danone</c:v>
                </c:pt>
                <c:pt idx="1">
                  <c:v>Nestlé</c:v>
                </c:pt>
                <c:pt idx="2">
                  <c:v>Unilever</c:v>
                </c:pt>
                <c:pt idx="3">
                  <c:v>General Mills</c:v>
                </c:pt>
              </c:strCache>
            </c:strRef>
          </c:cat>
          <c:val>
            <c:numRef>
              <c:f>Dashboard!$D$18:$D$21</c:f>
              <c:numCache>
                <c:formatCode>0.0\x;\(0.0"x)";\-</c:formatCode>
                <c:ptCount val="4"/>
                <c:pt idx="0">
                  <c:v>11.4293364377183</c:v>
                </c:pt>
                <c:pt idx="1">
                  <c:v>14.1</c:v>
                </c:pt>
                <c:pt idx="2">
                  <c:v>12.7</c:v>
                </c:pt>
                <c:pt idx="3">
                  <c:v>9.25</c:v>
                </c:pt>
              </c:numCache>
            </c:numRef>
          </c:val>
        </c:ser>
        <c:gapWidth val="60"/>
        <c:overlap val="0"/>
        <c:axId val="95085780"/>
        <c:axId val="96383280"/>
      </c:barChart>
      <c:catAx>
        <c:axId val="95085780"/>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96383280"/>
        <c:crosses val="autoZero"/>
        <c:auto val="1"/>
        <c:lblAlgn val="ctr"/>
        <c:lblOffset val="100"/>
        <c:noMultiLvlLbl val="0"/>
      </c:catAx>
      <c:valAx>
        <c:axId val="96383280"/>
        <c:scaling>
          <c:orientation val="minMax"/>
          <c:max val="18"/>
          <c:min val="0"/>
        </c:scaling>
        <c:delete val="0"/>
        <c:axPos val="l"/>
        <c:numFmt formatCode="0.0\x"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9508578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Chiffre d'affaires et résultat opérationnel courant (M€)</a:t>
            </a:r>
          </a:p>
        </c:rich>
      </c:tx>
      <c:overlay val="0"/>
      <c:spPr>
        <a:noFill/>
        <a:ln w="0">
          <a:noFill/>
        </a:ln>
      </c:spPr>
    </c:title>
    <c:autoTitleDeleted val="0"/>
    <c:plotArea>
      <c:barChart>
        <c:barDir val="col"/>
        <c:grouping val="clustered"/>
        <c:varyColors val="0"/>
        <c:ser>
          <c:idx val="0"/>
          <c:order val="0"/>
          <c:tx>
            <c:strRef>
              <c:f>Financials!B7</c:f>
              <c:strCache>
                <c:ptCount val="1"/>
                <c:pt idx="0">
                  <c:v>Chiffre d'affaires net</c:v>
                </c:pt>
              </c:strCache>
            </c:strRef>
          </c:tx>
          <c:spPr>
            <a:solidFill>
              <a:srgbClr val="1f3864"/>
            </a:solidFill>
            <a:ln w="0">
              <a:solidFill>
                <a:srgbClr val="1f3864"/>
              </a:solid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Financials!$C$6:$E$6</c:f>
              <c:strCache>
                <c:ptCount val="3"/>
                <c:pt idx="0">
                  <c:v>FY2023A</c:v>
                </c:pt>
                <c:pt idx="1">
                  <c:v>FY2024A</c:v>
                </c:pt>
                <c:pt idx="2">
                  <c:v>FY2025A</c:v>
                </c:pt>
              </c:strCache>
            </c:strRef>
          </c:cat>
          <c:val>
            <c:numRef>
              <c:f>Financials!$C$7:$E$7</c:f>
              <c:numCache>
                <c:formatCode>#,##0;\(#,##0\);\-</c:formatCode>
                <c:ptCount val="3"/>
                <c:pt idx="0">
                  <c:v>27622</c:v>
                </c:pt>
                <c:pt idx="1">
                  <c:v>27376</c:v>
                </c:pt>
                <c:pt idx="2">
                  <c:v>27283</c:v>
                </c:pt>
              </c:numCache>
            </c:numRef>
          </c:val>
        </c:ser>
        <c:ser>
          <c:idx val="1"/>
          <c:order val="1"/>
          <c:tx>
            <c:strRef>
              <c:f>Financials!B8</c:f>
              <c:strCache>
                <c:ptCount val="1"/>
                <c:pt idx="0">
                  <c:v>Résultat opérationnel courant</c:v>
                </c:pt>
              </c:strCache>
            </c:strRef>
          </c:tx>
          <c:spPr>
            <a:solidFill>
              <a:srgbClr val="c55a11"/>
            </a:solidFill>
            <a:ln w="0">
              <a:solidFill>
                <a:srgbClr val="c55a11"/>
              </a:solidFill>
            </a:ln>
          </c:spPr>
          <c:invertIfNegative val="0"/>
          <c:dLbls>
            <c:numFmt formatCode="#,##0;\(#,##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Financials!$C$6:$E$6</c:f>
              <c:strCache>
                <c:ptCount val="3"/>
                <c:pt idx="0">
                  <c:v>FY2023A</c:v>
                </c:pt>
                <c:pt idx="1">
                  <c:v>FY2024A</c:v>
                </c:pt>
                <c:pt idx="2">
                  <c:v>FY2025A</c:v>
                </c:pt>
              </c:strCache>
            </c:strRef>
          </c:cat>
          <c:val>
            <c:numRef>
              <c:f>Financials!$C$8:$E$8</c:f>
              <c:numCache>
                <c:formatCode>#,##0;\(#,##0\);\-</c:formatCode>
                <c:ptCount val="3"/>
                <c:pt idx="0">
                  <c:v>3351</c:v>
                </c:pt>
                <c:pt idx="1">
                  <c:v>3514</c:v>
                </c:pt>
                <c:pt idx="2">
                  <c:v>3665</c:v>
                </c:pt>
              </c:numCache>
            </c:numRef>
          </c:val>
        </c:ser>
        <c:gapWidth val="150"/>
        <c:overlap val="0"/>
        <c:axId val="60834885"/>
        <c:axId val="44033788"/>
      </c:barChart>
      <c:catAx>
        <c:axId val="60834885"/>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44033788"/>
        <c:crosses val="autoZero"/>
        <c:auto val="1"/>
        <c:lblAlgn val="ctr"/>
        <c:lblOffset val="100"/>
        <c:noMultiLvlLbl val="0"/>
      </c:catAx>
      <c:valAx>
        <c:axId val="44033788"/>
        <c:scaling>
          <c:orientation val="minMax"/>
        </c:scaling>
        <c:delete val="0"/>
        <c:axPos val="l"/>
        <c:majorGridlines>
          <c:spPr>
            <a:ln w="9360">
              <a:solidFill>
                <a:srgbClr val="e0e0e0"/>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6083488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4</xdr:row>
      <xdr:rowOff>0</xdr:rowOff>
    </xdr:from>
    <xdr:to>
      <xdr:col>13</xdr:col>
      <xdr:colOff>99360</xdr:colOff>
      <xdr:row>17</xdr:row>
      <xdr:rowOff>76680</xdr:rowOff>
    </xdr:to>
    <xdr:graphicFrame>
      <xdr:nvGraphicFramePr>
        <xdr:cNvPr id="0" name="Chart 1"/>
        <xdr:cNvGraphicFramePr/>
      </xdr:nvGraphicFramePr>
      <xdr:xfrm>
        <a:off x="7707600" y="800280"/>
        <a:ext cx="4751280" cy="2591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16</xdr:row>
      <xdr:rowOff>0</xdr:rowOff>
    </xdr:from>
    <xdr:to>
      <xdr:col>13</xdr:col>
      <xdr:colOff>99360</xdr:colOff>
      <xdr:row>29</xdr:row>
      <xdr:rowOff>38880</xdr:rowOff>
    </xdr:to>
    <xdr:graphicFrame>
      <xdr:nvGraphicFramePr>
        <xdr:cNvPr id="1" name="Chart 2"/>
        <xdr:cNvGraphicFramePr/>
      </xdr:nvGraphicFramePr>
      <xdr:xfrm>
        <a:off x="7707600" y="3086280"/>
        <a:ext cx="4751280" cy="2591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4</xdr:row>
      <xdr:rowOff>0</xdr:rowOff>
    </xdr:from>
    <xdr:to>
      <xdr:col>17</xdr:col>
      <xdr:colOff>252720</xdr:colOff>
      <xdr:row>18</xdr:row>
      <xdr:rowOff>132840</xdr:rowOff>
    </xdr:to>
    <xdr:graphicFrame>
      <xdr:nvGraphicFramePr>
        <xdr:cNvPr id="2" name="Chart 1"/>
        <xdr:cNvGraphicFramePr/>
      </xdr:nvGraphicFramePr>
      <xdr:xfrm>
        <a:off x="8155440" y="800280"/>
        <a:ext cx="5756040" cy="28760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F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20"/>
    <col collapsed="false" customWidth="true" hidden="false" outlineLevel="0" max="3" min="3" style="1" width="62"/>
  </cols>
  <sheetData>
    <row r="2" customFormat="false" ht="18" hidden="false" customHeight="true" outlineLevel="0" collapsed="false">
      <c r="B2" s="2" t="s">
        <v>0</v>
      </c>
    </row>
    <row r="3" customFormat="false" ht="15" hidden="false" customHeight="true" outlineLevel="0" collapsed="false">
      <c r="B3" s="3" t="s">
        <v>1</v>
      </c>
    </row>
    <row r="4" customFormat="false" ht="15" hidden="false" customHeight="true" outlineLevel="0" collapsed="false">
      <c r="B4" s="4" t="s">
        <v>2</v>
      </c>
    </row>
    <row r="6" customFormat="false" ht="15" hidden="false" customHeight="true" outlineLevel="0" collapsed="false">
      <c r="B6" s="5" t="s">
        <v>3</v>
      </c>
    </row>
    <row r="8" customFormat="false" ht="15" hidden="false" customHeight="true" outlineLevel="0" collapsed="false">
      <c r="B8" s="6" t="s">
        <v>4</v>
      </c>
      <c r="C8" s="7" t="s">
        <v>5</v>
      </c>
    </row>
    <row r="9" customFormat="false" ht="15" hidden="false" customHeight="true" outlineLevel="0" collapsed="false">
      <c r="B9" s="6" t="s">
        <v>6</v>
      </c>
      <c r="C9" s="7" t="s">
        <v>7</v>
      </c>
    </row>
    <row r="10" customFormat="false" ht="15" hidden="false" customHeight="true" outlineLevel="0" collapsed="false">
      <c r="B10" s="6" t="s">
        <v>8</v>
      </c>
      <c r="C10" s="7" t="s">
        <v>9</v>
      </c>
    </row>
    <row r="11" customFormat="false" ht="15" hidden="false" customHeight="true" outlineLevel="0" collapsed="false">
      <c r="B11" s="6" t="s">
        <v>10</v>
      </c>
      <c r="C11" s="7" t="s">
        <v>11</v>
      </c>
    </row>
    <row r="12" customFormat="false" ht="15" hidden="false" customHeight="true" outlineLevel="0" collapsed="false">
      <c r="B12" s="6" t="s">
        <v>12</v>
      </c>
      <c r="C12" s="7" t="s">
        <v>13</v>
      </c>
    </row>
    <row r="13" customFormat="false" ht="15" hidden="false" customHeight="true" outlineLevel="0" collapsed="false">
      <c r="B13" s="6" t="s">
        <v>14</v>
      </c>
      <c r="C13" s="7" t="s">
        <v>15</v>
      </c>
    </row>
    <row r="16" customFormat="false" ht="15" hidden="false" customHeight="true" outlineLevel="0" collapsed="false">
      <c r="B16" s="5" t="s">
        <v>16</v>
      </c>
    </row>
    <row r="17" customFormat="false" ht="15" hidden="false" customHeight="true" outlineLevel="0" collapsed="false">
      <c r="B17" s="3" t="s">
        <v>17</v>
      </c>
    </row>
    <row r="18" customFormat="false" ht="15" hidden="false" customHeight="true" outlineLevel="0" collapsed="false">
      <c r="B18" s="3" t="s">
        <v>18</v>
      </c>
    </row>
    <row r="19" customFormat="false" ht="15" hidden="false" customHeight="true" outlineLevel="0" collapsed="false">
      <c r="B19" s="3" t="s">
        <v>19</v>
      </c>
    </row>
    <row r="20" customFormat="false" ht="15" hidden="false" customHeight="true" outlineLevel="0" collapsed="false">
      <c r="B20" s="3" t="s">
        <v>20</v>
      </c>
    </row>
    <row r="21" customFormat="false" ht="15" hidden="false" customHeight="true" outlineLevel="0" collapsed="false">
      <c r="B21" s="3" t="s">
        <v>21</v>
      </c>
    </row>
    <row r="22" customFormat="false" ht="15" hidden="false" customHeight="true" outlineLevel="0" collapsed="false">
      <c r="B22" s="3" t="s">
        <v>22</v>
      </c>
    </row>
    <row r="24" customFormat="false" ht="15" hidden="false" customHeight="true" outlineLevel="0" collapsed="false">
      <c r="B24" s="8" t="s">
        <v>23</v>
      </c>
      <c r="C24" s="8"/>
      <c r="D24" s="8"/>
      <c r="E24" s="8"/>
      <c r="F24" s="8"/>
    </row>
    <row r="25" customFormat="false" ht="15" hidden="false" customHeight="true" outlineLevel="0" collapsed="false">
      <c r="B25" s="8"/>
      <c r="C25" s="8"/>
      <c r="D25" s="8"/>
      <c r="E25" s="8"/>
      <c r="F25" s="8"/>
    </row>
    <row r="26" customFormat="false" ht="15" hidden="false" customHeight="true" outlineLevel="0" collapsed="false">
      <c r="B26" s="8"/>
      <c r="C26" s="8"/>
      <c r="D26" s="8"/>
      <c r="E26" s="8"/>
      <c r="F26" s="8"/>
    </row>
    <row r="27" customFormat="false" ht="15" hidden="false" customHeight="true" outlineLevel="0" collapsed="false">
      <c r="B27" s="8"/>
      <c r="C27" s="8"/>
      <c r="D27" s="8"/>
      <c r="E27" s="8"/>
      <c r="F27" s="8"/>
    </row>
  </sheetData>
  <mergeCells count="1">
    <mergeCell ref="B24:F27"/>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42"/>
    <col collapsed="false" customWidth="true" hidden="false" outlineLevel="0" max="4" min="4" style="1" width="16"/>
    <col collapsed="false" customWidth="true" hidden="false" outlineLevel="0" max="5" min="5" style="1" width="34"/>
    <col collapsed="false" customWidth="true" hidden="false" outlineLevel="0" max="6" min="6" style="1" width="10"/>
    <col collapsed="false" customWidth="true" hidden="false" outlineLevel="0" max="7" min="7" style="1" width="2"/>
    <col collapsed="false" customWidth="true" hidden="false" outlineLevel="0" max="13" min="8" style="1" width="9"/>
  </cols>
  <sheetData>
    <row r="2" customFormat="false" ht="18" hidden="false" customHeight="true" outlineLevel="0" collapsed="false">
      <c r="B2" s="2" t="s">
        <v>24</v>
      </c>
    </row>
    <row r="3" customFormat="false" ht="15" hidden="false" customHeight="true" outlineLevel="0" collapsed="false">
      <c r="B3" s="4" t="s">
        <v>2</v>
      </c>
    </row>
    <row r="5" customFormat="false" ht="18" hidden="false" customHeight="true" outlineLevel="0" collapsed="false">
      <c r="B5" s="9" t="s">
        <v>25</v>
      </c>
      <c r="C5" s="10"/>
      <c r="D5" s="10"/>
      <c r="E5" s="10"/>
      <c r="F5" s="10"/>
      <c r="G5" s="10"/>
    </row>
    <row r="6" customFormat="false" ht="15" hidden="false" customHeight="true" outlineLevel="0" collapsed="false">
      <c r="B6" s="11" t="s">
        <v>26</v>
      </c>
      <c r="C6" s="12"/>
      <c r="D6" s="13" t="n">
        <f aca="false">DCF!C21</f>
        <v>84.1212050621768</v>
      </c>
      <c r="E6" s="12"/>
    </row>
    <row r="7" customFormat="false" ht="15" hidden="false" customHeight="true" outlineLevel="0" collapsed="false">
      <c r="B7" s="11" t="s">
        <v>27</v>
      </c>
      <c r="C7" s="12"/>
      <c r="D7" s="13" t="n">
        <f aca="false">DCF!C22</f>
        <v>59.5</v>
      </c>
      <c r="E7" s="12"/>
    </row>
    <row r="8" customFormat="false" ht="15" hidden="false" customHeight="true" outlineLevel="0" collapsed="false">
      <c r="B8" s="11" t="s">
        <v>28</v>
      </c>
      <c r="C8" s="12"/>
      <c r="D8" s="14" t="n">
        <f aca="false">DCF!C23</f>
        <v>0.413801765750871</v>
      </c>
      <c r="E8" s="12"/>
    </row>
    <row r="9" customFormat="false" ht="15" hidden="false" customHeight="true" outlineLevel="0" collapsed="false">
      <c r="B9" s="11" t="s">
        <v>29</v>
      </c>
      <c r="C9" s="12"/>
      <c r="D9" s="15" t="n">
        <f aca="false">DCF!C17</f>
        <v>65913.7659936647</v>
      </c>
      <c r="E9" s="12"/>
    </row>
    <row r="10" customFormat="false" ht="15" hidden="false" customHeight="true" outlineLevel="0" collapsed="false">
      <c r="B10" s="11" t="s">
        <v>30</v>
      </c>
      <c r="C10" s="12"/>
      <c r="D10" s="15" t="n">
        <f aca="false">DCF!C19</f>
        <v>57483.7659936647</v>
      </c>
      <c r="E10" s="12"/>
    </row>
    <row r="11" customFormat="false" ht="15" hidden="false" customHeight="true" outlineLevel="0" collapsed="false">
      <c r="B11" s="11" t="s">
        <v>31</v>
      </c>
      <c r="C11" s="12"/>
      <c r="D11" s="16" t="n">
        <f aca="false">Assumptions!C27</f>
        <v>0.069250733361853</v>
      </c>
      <c r="E11" s="12"/>
    </row>
    <row r="12" customFormat="false" ht="15" hidden="false" customHeight="true" outlineLevel="0" collapsed="false">
      <c r="B12" s="11" t="s">
        <v>32</v>
      </c>
      <c r="C12" s="12"/>
      <c r="D12" s="16" t="n">
        <f aca="false">Assumptions!C28</f>
        <v>0.02</v>
      </c>
      <c r="E12" s="12"/>
    </row>
    <row r="13" customFormat="false" ht="15" hidden="false" customHeight="true" outlineLevel="0" collapsed="false">
      <c r="B13" s="11" t="s">
        <v>33</v>
      </c>
      <c r="C13" s="12"/>
      <c r="D13" s="17" t="n">
        <f aca="false">DCF!C24</f>
        <v>15.3466277051606</v>
      </c>
      <c r="E13" s="12"/>
    </row>
    <row r="14" customFormat="false" ht="15" hidden="false" customHeight="true" outlineLevel="0" collapsed="false">
      <c r="B14" s="11" t="s">
        <v>34</v>
      </c>
      <c r="C14" s="12"/>
      <c r="D14" s="17" t="n">
        <f aca="false">DCF!C25</f>
        <v>11.4293364377183</v>
      </c>
      <c r="E14" s="12"/>
    </row>
    <row r="16" customFormat="false" ht="12" hidden="false" customHeight="true" outlineLevel="0" collapsed="false"/>
    <row r="17" customFormat="false" ht="18" hidden="false" customHeight="true" outlineLevel="0" collapsed="false">
      <c r="B17" s="9" t="s">
        <v>35</v>
      </c>
      <c r="C17" s="10"/>
      <c r="D17" s="10"/>
      <c r="E17" s="18" t="s">
        <v>36</v>
      </c>
      <c r="F17" s="10"/>
      <c r="G17" s="10"/>
    </row>
    <row r="18" customFormat="false" ht="15" hidden="false" customHeight="true" outlineLevel="0" collapsed="false">
      <c r="B18" s="11" t="s">
        <v>37</v>
      </c>
      <c r="C18" s="12"/>
      <c r="D18" s="19" t="n">
        <f aca="false">DCF!C25</f>
        <v>11.4293364377183</v>
      </c>
      <c r="E18" s="12"/>
      <c r="G18" s="20" t="s">
        <v>38</v>
      </c>
    </row>
    <row r="19" customFormat="false" ht="15" hidden="false" customHeight="true" outlineLevel="0" collapsed="false">
      <c r="B19" s="11" t="s">
        <v>39</v>
      </c>
      <c r="C19" s="12"/>
      <c r="D19" s="21" t="n">
        <v>14.1</v>
      </c>
      <c r="E19" s="12"/>
      <c r="G19" s="20" t="s">
        <v>40</v>
      </c>
    </row>
    <row r="20" customFormat="false" ht="15" hidden="false" customHeight="true" outlineLevel="0" collapsed="false">
      <c r="B20" s="11" t="s">
        <v>41</v>
      </c>
      <c r="C20" s="12"/>
      <c r="D20" s="21" t="n">
        <v>12.7</v>
      </c>
      <c r="E20" s="12"/>
      <c r="G20" s="20" t="s">
        <v>42</v>
      </c>
    </row>
    <row r="21" customFormat="false" ht="15" hidden="false" customHeight="true" outlineLevel="0" collapsed="false">
      <c r="B21" s="11" t="s">
        <v>43</v>
      </c>
      <c r="C21" s="12"/>
      <c r="D21" s="21" t="n">
        <v>9.25</v>
      </c>
      <c r="E21" s="12"/>
      <c r="G21" s="20" t="s">
        <v>44</v>
      </c>
    </row>
    <row r="24" customFormat="false" ht="18" hidden="false" customHeight="true" outlineLevel="0" collapsed="false">
      <c r="B24" s="9" t="s">
        <v>45</v>
      </c>
      <c r="C24" s="10"/>
      <c r="D24" s="10"/>
      <c r="E24" s="10"/>
      <c r="F24" s="10"/>
      <c r="G24" s="10"/>
    </row>
    <row r="25" customFormat="false" ht="15" hidden="false" customHeight="true" outlineLevel="0" collapsed="false">
      <c r="B25" s="22" t="s">
        <v>46</v>
      </c>
      <c r="D25" s="23" t="str">
        <f aca="false">Checks!C25</f>
        <v>Tous les contrôles sont OK</v>
      </c>
    </row>
  </sheetData>
  <conditionalFormatting sqref="D8">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50"/>
    <col collapsed="false" customWidth="true" hidden="false" outlineLevel="0" max="4" min="3" style="1" width="12"/>
    <col collapsed="false" customWidth="true" hidden="false" outlineLevel="0" max="5" min="5" style="1" width="48"/>
    <col collapsed="false" customWidth="true" hidden="false" outlineLevel="0" max="7" min="6" style="1" width="12"/>
  </cols>
  <sheetData>
    <row r="2" customFormat="false" ht="18" hidden="false" customHeight="true" outlineLevel="0" collapsed="false">
      <c r="B2" s="2" t="s">
        <v>47</v>
      </c>
    </row>
    <row r="3" customFormat="false" ht="15" hidden="false" customHeight="true" outlineLevel="0" collapsed="false">
      <c r="B3" s="4" t="s">
        <v>2</v>
      </c>
    </row>
    <row r="5" customFormat="false" ht="18" hidden="false" customHeight="true" outlineLevel="0" collapsed="false">
      <c r="B5" s="9" t="s">
        <v>48</v>
      </c>
      <c r="C5" s="10"/>
      <c r="D5" s="10"/>
      <c r="E5" s="10"/>
      <c r="F5" s="10"/>
      <c r="G5" s="10"/>
    </row>
    <row r="6" customFormat="false" ht="15" hidden="false" customHeight="true" outlineLevel="0" collapsed="false">
      <c r="B6" s="22" t="s">
        <v>49</v>
      </c>
      <c r="C6" s="24" t="n">
        <v>27283</v>
      </c>
      <c r="E6" s="3" t="s">
        <v>50</v>
      </c>
    </row>
    <row r="7" customFormat="false" ht="15" hidden="false" customHeight="true" outlineLevel="0" collapsed="false">
      <c r="B7" s="22" t="s">
        <v>51</v>
      </c>
      <c r="C7" s="24" t="n">
        <v>2799</v>
      </c>
      <c r="E7" s="3" t="s">
        <v>52</v>
      </c>
    </row>
    <row r="8" customFormat="false" ht="15" hidden="false" customHeight="true" outlineLevel="0" collapsed="false">
      <c r="B8" s="22" t="s">
        <v>53</v>
      </c>
      <c r="C8" s="24" t="n">
        <v>3665</v>
      </c>
      <c r="E8" s="3" t="s">
        <v>54</v>
      </c>
    </row>
    <row r="9" customFormat="false" ht="15" hidden="false" customHeight="true" outlineLevel="0" collapsed="false">
      <c r="B9" s="22" t="s">
        <v>55</v>
      </c>
      <c r="C9" s="24" t="n">
        <v>4295</v>
      </c>
      <c r="E9" s="3" t="s">
        <v>56</v>
      </c>
    </row>
    <row r="10" customFormat="false" ht="15" hidden="false" customHeight="true" outlineLevel="0" collapsed="false">
      <c r="B10" s="22" t="s">
        <v>57</v>
      </c>
      <c r="C10" s="24" t="n">
        <v>8430</v>
      </c>
      <c r="E10" s="3" t="s">
        <v>58</v>
      </c>
    </row>
    <row r="11" customFormat="false" ht="15" hidden="false" customHeight="true" outlineLevel="0" collapsed="false">
      <c r="B11" s="22" t="s">
        <v>59</v>
      </c>
      <c r="C11" s="25" t="n">
        <v>59.5</v>
      </c>
      <c r="E11" s="3" t="s">
        <v>60</v>
      </c>
    </row>
    <row r="12" customFormat="false" ht="15" hidden="false" customHeight="true" outlineLevel="0" collapsed="false">
      <c r="B12" s="22" t="s">
        <v>61</v>
      </c>
      <c r="C12" s="24" t="n">
        <v>40659</v>
      </c>
      <c r="E12" s="3" t="s">
        <v>60</v>
      </c>
    </row>
    <row r="13" customFormat="false" ht="15" hidden="false" customHeight="true" outlineLevel="0" collapsed="false">
      <c r="B13" s="22" t="s">
        <v>62</v>
      </c>
      <c r="C13" s="26" t="n">
        <v>0.56</v>
      </c>
      <c r="E13" s="3" t="s">
        <v>63</v>
      </c>
    </row>
    <row r="14" customFormat="false" ht="15" hidden="false" customHeight="true" outlineLevel="0" collapsed="false">
      <c r="B14" s="22" t="s">
        <v>64</v>
      </c>
      <c r="C14" s="27" t="n">
        <f aca="false">C12/C11</f>
        <v>683.344537815126</v>
      </c>
      <c r="E14" s="3" t="s">
        <v>65</v>
      </c>
    </row>
    <row r="17" customFormat="false" ht="18" hidden="false" customHeight="true" outlineLevel="0" collapsed="false">
      <c r="B17" s="9" t="s">
        <v>66</v>
      </c>
      <c r="C17" s="10"/>
      <c r="D17" s="10"/>
      <c r="E17" s="10"/>
      <c r="F17" s="10"/>
      <c r="G17" s="10"/>
    </row>
    <row r="18" customFormat="false" ht="15" hidden="false" customHeight="true" outlineLevel="0" collapsed="false">
      <c r="B18" s="22" t="s">
        <v>67</v>
      </c>
      <c r="C18" s="28" t="n">
        <v>0.049</v>
      </c>
      <c r="E18" s="3" t="s">
        <v>68</v>
      </c>
    </row>
    <row r="19" customFormat="false" ht="15" hidden="false" customHeight="true" outlineLevel="0" collapsed="false">
      <c r="B19" s="22" t="s">
        <v>69</v>
      </c>
      <c r="C19" s="28" t="n">
        <v>0.05</v>
      </c>
      <c r="E19" s="3" t="s">
        <v>70</v>
      </c>
    </row>
    <row r="20" customFormat="false" ht="15" hidden="false" customHeight="true" outlineLevel="0" collapsed="false">
      <c r="B20" s="22" t="s">
        <v>71</v>
      </c>
      <c r="C20" s="26" t="n">
        <v>0.56</v>
      </c>
      <c r="E20" s="3" t="s">
        <v>72</v>
      </c>
    </row>
    <row r="21" customFormat="false" ht="15" hidden="false" customHeight="true" outlineLevel="0" collapsed="false">
      <c r="B21" s="22" t="s">
        <v>73</v>
      </c>
      <c r="C21" s="28" t="n">
        <v>0.0425</v>
      </c>
      <c r="E21" s="3" t="s">
        <v>74</v>
      </c>
    </row>
    <row r="22" customFormat="false" ht="15" hidden="false" customHeight="true" outlineLevel="0" collapsed="false">
      <c r="B22" s="22" t="s">
        <v>75</v>
      </c>
      <c r="C22" s="28" t="n">
        <v>0.25</v>
      </c>
      <c r="E22" s="3" t="s">
        <v>76</v>
      </c>
    </row>
    <row r="23" customFormat="false" ht="15" hidden="false" customHeight="true" outlineLevel="0" collapsed="false">
      <c r="B23" s="22" t="s">
        <v>77</v>
      </c>
      <c r="C23" s="29" t="n">
        <f aca="false">C18+C20*C19</f>
        <v>0.077</v>
      </c>
    </row>
    <row r="24" customFormat="false" ht="15" hidden="false" customHeight="true" outlineLevel="0" collapsed="false">
      <c r="B24" s="22" t="s">
        <v>78</v>
      </c>
      <c r="C24" s="29" t="n">
        <f aca="false">C21*(1-C22)</f>
        <v>0.031875</v>
      </c>
    </row>
    <row r="25" customFormat="false" ht="15" hidden="false" customHeight="true" outlineLevel="0" collapsed="false">
      <c r="B25" s="22" t="s">
        <v>79</v>
      </c>
      <c r="C25" s="29" t="n">
        <f aca="false">C12/(C12+C10)</f>
        <v>0.828271099431645</v>
      </c>
    </row>
    <row r="26" customFormat="false" ht="15" hidden="false" customHeight="true" outlineLevel="0" collapsed="false">
      <c r="B26" s="22" t="s">
        <v>80</v>
      </c>
      <c r="C26" s="29" t="n">
        <f aca="false">C10/(C12+C10)</f>
        <v>0.171728900568355</v>
      </c>
    </row>
    <row r="27" customFormat="false" ht="15" hidden="false" customHeight="true" outlineLevel="0" collapsed="false">
      <c r="B27" s="22" t="s">
        <v>81</v>
      </c>
      <c r="C27" s="30" t="n">
        <f aca="false">C25*C23+C26*C24</f>
        <v>0.069250733361853</v>
      </c>
    </row>
    <row r="28" customFormat="false" ht="15" hidden="false" customHeight="true" outlineLevel="0" collapsed="false">
      <c r="B28" s="22" t="s">
        <v>32</v>
      </c>
      <c r="C28" s="28" t="n">
        <v>0.02</v>
      </c>
      <c r="E28" s="3" t="s">
        <v>82</v>
      </c>
    </row>
    <row r="30" customFormat="false" ht="15" hidden="false" customHeight="true" outlineLevel="0" collapsed="false">
      <c r="B30" s="8" t="s">
        <v>83</v>
      </c>
      <c r="C30" s="8"/>
      <c r="D30" s="8"/>
      <c r="E30" s="8"/>
      <c r="F30" s="8"/>
    </row>
    <row r="31" customFormat="false" ht="15" hidden="false" customHeight="true" outlineLevel="0" collapsed="false">
      <c r="B31" s="8"/>
      <c r="C31" s="8"/>
      <c r="D31" s="8"/>
      <c r="E31" s="8"/>
      <c r="F31" s="8"/>
    </row>
    <row r="32" customFormat="false" ht="15" hidden="false" customHeight="true" outlineLevel="0" collapsed="false">
      <c r="B32" s="8"/>
      <c r="C32" s="8"/>
      <c r="D32" s="8"/>
      <c r="E32" s="8"/>
      <c r="F32" s="8"/>
    </row>
    <row r="33" customFormat="false" ht="15" hidden="false" customHeight="true" outlineLevel="0" collapsed="false">
      <c r="B33" s="8"/>
      <c r="C33" s="8"/>
      <c r="D33" s="8"/>
      <c r="E33" s="8"/>
      <c r="F33" s="8"/>
    </row>
    <row r="35" customFormat="false" ht="18" hidden="false" customHeight="true" outlineLevel="0" collapsed="false">
      <c r="B35" s="9" t="s">
        <v>84</v>
      </c>
      <c r="C35" s="10"/>
      <c r="D35" s="10"/>
      <c r="E35" s="10"/>
      <c r="F35" s="10"/>
      <c r="G35" s="10"/>
    </row>
    <row r="36" customFormat="false" ht="15" hidden="false" customHeight="true" outlineLevel="0" collapsed="false">
      <c r="B36" s="22" t="s">
        <v>85</v>
      </c>
      <c r="C36" s="23" t="s">
        <v>86</v>
      </c>
      <c r="D36" s="23" t="s">
        <v>87</v>
      </c>
      <c r="E36" s="23" t="s">
        <v>88</v>
      </c>
      <c r="F36" s="23" t="s">
        <v>89</v>
      </c>
      <c r="G36" s="23" t="s">
        <v>90</v>
      </c>
    </row>
    <row r="37" customFormat="false" ht="15" hidden="false" customHeight="true" outlineLevel="0" collapsed="false">
      <c r="B37" s="22" t="s">
        <v>91</v>
      </c>
      <c r="C37" s="28" t="n">
        <v>0.03</v>
      </c>
      <c r="D37" s="28" t="n">
        <v>0.035</v>
      </c>
      <c r="E37" s="28" t="n">
        <v>0.035</v>
      </c>
      <c r="F37" s="28" t="n">
        <v>0.03</v>
      </c>
      <c r="G37" s="28" t="n">
        <v>0.025</v>
      </c>
    </row>
    <row r="38" customFormat="false" ht="15" hidden="false" customHeight="true" outlineLevel="0" collapsed="false">
      <c r="B38" s="22" t="s">
        <v>92</v>
      </c>
      <c r="C38" s="28" t="n">
        <v>0.103</v>
      </c>
      <c r="D38" s="28" t="n">
        <v>0.105</v>
      </c>
      <c r="E38" s="28" t="n">
        <v>0.107</v>
      </c>
      <c r="F38" s="28" t="n">
        <v>0.11</v>
      </c>
      <c r="G38" s="28" t="n">
        <v>0.112</v>
      </c>
    </row>
    <row r="40" customFormat="false" ht="15" hidden="false" customHeight="true" outlineLevel="0" collapsed="false">
      <c r="B40" s="3" t="s">
        <v>93</v>
      </c>
    </row>
    <row r="41" customFormat="false" ht="15" hidden="false" customHeight="true" outlineLevel="0" collapsed="false">
      <c r="B41" s="3" t="s">
        <v>94</v>
      </c>
    </row>
    <row r="42" customFormat="false" ht="15" hidden="false" customHeight="true" outlineLevel="0" collapsed="false">
      <c r="B42" s="3" t="s">
        <v>95</v>
      </c>
    </row>
    <row r="43" customFormat="false" ht="15" hidden="false" customHeight="true" outlineLevel="0" collapsed="false">
      <c r="B43" s="3" t="s">
        <v>96</v>
      </c>
    </row>
  </sheetData>
  <mergeCells count="1">
    <mergeCell ref="B30:F33"/>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2" min="2" style="1" width="42"/>
    <col collapsed="false" customWidth="true" hidden="false" outlineLevel="0" max="5" min="3" style="1" width="13"/>
  </cols>
  <sheetData>
    <row r="2" customFormat="false" ht="18" hidden="false" customHeight="true" outlineLevel="0" collapsed="false">
      <c r="B2" s="2" t="s">
        <v>97</v>
      </c>
    </row>
    <row r="3" customFormat="false" ht="15" hidden="false" customHeight="true" outlineLevel="0" collapsed="false">
      <c r="B3" s="4" t="s">
        <v>2</v>
      </c>
    </row>
    <row r="5" customFormat="false" ht="18" hidden="false" customHeight="true" outlineLevel="0" collapsed="false">
      <c r="B5" s="9" t="s">
        <v>98</v>
      </c>
      <c r="C5" s="10"/>
      <c r="D5" s="10"/>
      <c r="E5" s="10"/>
      <c r="F5" s="10"/>
      <c r="G5" s="10"/>
    </row>
    <row r="6" customFormat="false" ht="15" hidden="false" customHeight="true" outlineLevel="0" collapsed="false">
      <c r="B6" s="22"/>
      <c r="C6" s="23" t="s">
        <v>99</v>
      </c>
      <c r="D6" s="23" t="s">
        <v>100</v>
      </c>
      <c r="E6" s="23" t="s">
        <v>101</v>
      </c>
    </row>
    <row r="7" customFormat="false" ht="15" hidden="false" customHeight="true" outlineLevel="0" collapsed="false">
      <c r="B7" s="22" t="s">
        <v>102</v>
      </c>
      <c r="C7" s="24" t="n">
        <v>27622</v>
      </c>
      <c r="D7" s="24" t="n">
        <v>27376</v>
      </c>
      <c r="E7" s="24" t="n">
        <v>27283</v>
      </c>
    </row>
    <row r="8" customFormat="false" ht="15" hidden="false" customHeight="true" outlineLevel="0" collapsed="false">
      <c r="B8" s="22" t="s">
        <v>103</v>
      </c>
      <c r="C8" s="24" t="n">
        <v>3351</v>
      </c>
      <c r="D8" s="24" t="n">
        <v>3514</v>
      </c>
      <c r="E8" s="24" t="n">
        <v>3665</v>
      </c>
    </row>
    <row r="9" customFormat="false" ht="15" hidden="false" customHeight="true" outlineLevel="0" collapsed="false">
      <c r="B9" s="22" t="s">
        <v>104</v>
      </c>
      <c r="C9" s="24" t="n">
        <v>2998</v>
      </c>
      <c r="D9" s="24" t="n">
        <v>2021</v>
      </c>
      <c r="E9" s="24" t="n">
        <v>1825</v>
      </c>
    </row>
    <row r="10" customFormat="false" ht="15" hidden="false" customHeight="true" outlineLevel="0" collapsed="false">
      <c r="B10" s="22" t="s">
        <v>105</v>
      </c>
      <c r="C10" s="29" t="n">
        <f aca="false">C8/C7</f>
        <v>0.121316342046195</v>
      </c>
      <c r="D10" s="29" t="n">
        <f aca="false">D8/D7</f>
        <v>0.128360607831677</v>
      </c>
      <c r="E10" s="29" t="n">
        <f aca="false">E8/E7</f>
        <v>0.134332734669941</v>
      </c>
    </row>
    <row r="13" customFormat="false" ht="18" hidden="false" customHeight="true" outlineLevel="0" collapsed="false">
      <c r="B13" s="9" t="s">
        <v>106</v>
      </c>
      <c r="C13" s="10"/>
      <c r="D13" s="10"/>
      <c r="E13" s="10"/>
      <c r="F13" s="10"/>
      <c r="G13" s="10"/>
    </row>
    <row r="14" customFormat="false" ht="15" hidden="false" customHeight="true" outlineLevel="0" collapsed="false">
      <c r="B14" s="22"/>
      <c r="C14" s="23" t="s">
        <v>99</v>
      </c>
      <c r="D14" s="23" t="s">
        <v>100</v>
      </c>
      <c r="E14" s="23" t="s">
        <v>101</v>
      </c>
    </row>
    <row r="15" customFormat="false" ht="15" hidden="false" customHeight="true" outlineLevel="0" collapsed="false">
      <c r="B15" s="22" t="s">
        <v>107</v>
      </c>
      <c r="C15" s="24" t="n">
        <v>2600</v>
      </c>
      <c r="D15" s="24" t="n">
        <v>3004</v>
      </c>
      <c r="E15" s="24" t="n">
        <v>2799</v>
      </c>
    </row>
    <row r="16" customFormat="false" ht="15" hidden="false" customHeight="true" outlineLevel="0" collapsed="false">
      <c r="B16" s="22" t="s">
        <v>108</v>
      </c>
      <c r="C16" s="29" t="n">
        <f aca="false">C15/C7</f>
        <v>0.0941278690898559</v>
      </c>
      <c r="D16" s="29" t="n">
        <f aca="false">D15/D7</f>
        <v>0.109731151373466</v>
      </c>
      <c r="E16" s="29" t="n">
        <f aca="false">E15/E7</f>
        <v>0.102591357255434</v>
      </c>
    </row>
    <row r="19" customFormat="false" ht="15" hidden="false" customHeight="true" outlineLevel="0" collapsed="false">
      <c r="B19" s="8" t="s">
        <v>109</v>
      </c>
      <c r="C19" s="8"/>
      <c r="D19" s="8"/>
      <c r="E19" s="8"/>
      <c r="F19" s="8"/>
    </row>
    <row r="20" customFormat="false" ht="15" hidden="false" customHeight="true" outlineLevel="0" collapsed="false">
      <c r="B20" s="8"/>
      <c r="C20" s="8"/>
      <c r="D20" s="8"/>
      <c r="E20" s="8"/>
      <c r="F20" s="8"/>
    </row>
    <row r="21" customFormat="false" ht="15" hidden="false" customHeight="true" outlineLevel="0" collapsed="false">
      <c r="B21" s="8"/>
      <c r="C21" s="8"/>
      <c r="D21" s="8"/>
      <c r="E21" s="8"/>
      <c r="F21" s="8"/>
    </row>
  </sheetData>
  <mergeCells count="1">
    <mergeCell ref="B19:F21"/>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2" style="1" width="48"/>
    <col collapsed="false" customWidth="true" hidden="false" outlineLevel="0" max="7" min="3" style="1" width="13"/>
  </cols>
  <sheetData>
    <row r="2" customFormat="false" ht="18" hidden="false" customHeight="true" outlineLevel="0" collapsed="false">
      <c r="B2" s="2" t="s">
        <v>110</v>
      </c>
    </row>
    <row r="3" customFormat="false" ht="15" hidden="false" customHeight="true" outlineLevel="0" collapsed="false">
      <c r="B3" s="4" t="s">
        <v>2</v>
      </c>
    </row>
    <row r="5" customFormat="false" ht="15" hidden="false" customHeight="true" outlineLevel="0" collapsed="false">
      <c r="B5" s="22"/>
      <c r="C5" s="23" t="s">
        <v>86</v>
      </c>
      <c r="D5" s="23" t="s">
        <v>87</v>
      </c>
      <c r="E5" s="23" t="s">
        <v>88</v>
      </c>
      <c r="F5" s="23" t="s">
        <v>89</v>
      </c>
      <c r="G5" s="23" t="s">
        <v>90</v>
      </c>
    </row>
    <row r="6" customFormat="false" ht="15" hidden="false" customHeight="true" outlineLevel="0" collapsed="false">
      <c r="B6" s="22" t="s">
        <v>111</v>
      </c>
      <c r="C6" s="31" t="n">
        <f aca="false">Assumptions!$C$6*(1+Assumptions!C37)</f>
        <v>28101.49</v>
      </c>
      <c r="D6" s="31" t="n">
        <f aca="false">C6*(1+Assumptions!D37)</f>
        <v>29085.04215</v>
      </c>
      <c r="E6" s="31" t="n">
        <f aca="false">D6*(1+Assumptions!E37)</f>
        <v>30103.01862525</v>
      </c>
      <c r="F6" s="31" t="n">
        <f aca="false">E6*(1+Assumptions!F37)</f>
        <v>31006.1091840075</v>
      </c>
      <c r="G6" s="31" t="n">
        <f aca="false">F6*(1+Assumptions!G37)</f>
        <v>31781.2619136077</v>
      </c>
    </row>
    <row r="7" customFormat="false" ht="15" hidden="false" customHeight="true" outlineLevel="0" collapsed="false">
      <c r="B7" s="22" t="s">
        <v>108</v>
      </c>
      <c r="C7" s="32" t="n">
        <f aca="false">Assumptions!C38</f>
        <v>0.103</v>
      </c>
      <c r="D7" s="32" t="n">
        <f aca="false">Assumptions!D38</f>
        <v>0.105</v>
      </c>
      <c r="E7" s="32" t="n">
        <f aca="false">Assumptions!E38</f>
        <v>0.107</v>
      </c>
      <c r="F7" s="32" t="n">
        <f aca="false">Assumptions!F38</f>
        <v>0.11</v>
      </c>
      <c r="G7" s="32" t="n">
        <f aca="false">Assumptions!G38</f>
        <v>0.112</v>
      </c>
    </row>
    <row r="8" customFormat="false" ht="15" hidden="false" customHeight="true" outlineLevel="0" collapsed="false">
      <c r="B8" s="22" t="s">
        <v>112</v>
      </c>
      <c r="C8" s="31" t="n">
        <f aca="false">C6*C7</f>
        <v>2894.45347</v>
      </c>
      <c r="D8" s="31" t="n">
        <f aca="false">D6*D7</f>
        <v>3053.92942575</v>
      </c>
      <c r="E8" s="31" t="n">
        <f aca="false">E6*E7</f>
        <v>3221.02299290175</v>
      </c>
      <c r="F8" s="31" t="n">
        <f aca="false">F6*F7</f>
        <v>3410.67201024083</v>
      </c>
      <c r="G8" s="31" t="n">
        <f aca="false">G6*G7</f>
        <v>3559.50133432406</v>
      </c>
    </row>
    <row r="10" customFormat="false" ht="15" hidden="false" customHeight="true" outlineLevel="0" collapsed="false">
      <c r="B10" s="22" t="s">
        <v>113</v>
      </c>
      <c r="C10" s="33" t="n">
        <f aca="false">1/(1+Assumptions!$C$27)^1</f>
        <v>0.935234336343057</v>
      </c>
      <c r="D10" s="33" t="n">
        <f aca="false">1/(1+Assumptions!$C$27)^2</f>
        <v>0.874663263875039</v>
      </c>
      <c r="E10" s="33" t="n">
        <f aca="false">1/(1+Assumptions!$C$27)^3</f>
        <v>0.818015117113825</v>
      </c>
      <c r="F10" s="33" t="n">
        <f aca="false">1/(1+Assumptions!$C$27)^4</f>
        <v>0.765035825172536</v>
      </c>
      <c r="G10" s="33" t="n">
        <f aca="false">1/(1+Assumptions!$C$27)^5</f>
        <v>0.7154877722339</v>
      </c>
    </row>
    <row r="11" customFormat="false" ht="15" hidden="false" customHeight="true" outlineLevel="0" collapsed="false">
      <c r="B11" s="22" t="s">
        <v>114</v>
      </c>
      <c r="C11" s="31" t="n">
        <f aca="false">C8*C10</f>
        <v>2706.99227009131</v>
      </c>
      <c r="D11" s="31" t="n">
        <f aca="false">D8*D10</f>
        <v>2671.15987917052</v>
      </c>
      <c r="E11" s="31" t="n">
        <f aca="false">E8*E10</f>
        <v>2634.84550076485</v>
      </c>
      <c r="F11" s="31" t="n">
        <f aca="false">F8*F10</f>
        <v>2609.28627574746</v>
      </c>
      <c r="G11" s="31" t="n">
        <f aca="false">G8*G10</f>
        <v>2546.77967995912</v>
      </c>
    </row>
    <row r="13" customFormat="false" ht="18" hidden="false" customHeight="true" outlineLevel="0" collapsed="false">
      <c r="B13" s="9" t="s">
        <v>115</v>
      </c>
      <c r="C13" s="10"/>
      <c r="D13" s="10"/>
      <c r="E13" s="10"/>
      <c r="F13" s="10"/>
      <c r="G13" s="10"/>
    </row>
    <row r="14" customFormat="false" ht="15" hidden="false" customHeight="true" outlineLevel="0" collapsed="false">
      <c r="B14" s="22" t="s">
        <v>116</v>
      </c>
      <c r="C14" s="34" t="n">
        <f aca="false">SUM(C11:G11)</f>
        <v>13169.0636057333</v>
      </c>
    </row>
    <row r="15" customFormat="false" ht="15" hidden="false" customHeight="true" outlineLevel="0" collapsed="false">
      <c r="B15" s="22" t="s">
        <v>117</v>
      </c>
      <c r="C15" s="34" t="n">
        <f aca="false">G8*(1+Assumptions!$C$28)/(Assumptions!$C$27-Assumptions!$C$28)</f>
        <v>73718.5238306052</v>
      </c>
    </row>
    <row r="16" customFormat="false" ht="15" hidden="false" customHeight="true" outlineLevel="0" collapsed="false">
      <c r="B16" s="22" t="s">
        <v>118</v>
      </c>
      <c r="C16" s="34" t="n">
        <f aca="false">C15*G10</f>
        <v>52744.7023879314</v>
      </c>
    </row>
    <row r="17" customFormat="false" ht="15" hidden="false" customHeight="true" outlineLevel="0" collapsed="false">
      <c r="B17" s="22" t="s">
        <v>29</v>
      </c>
      <c r="C17" s="35" t="n">
        <f aca="false">C14+C16</f>
        <v>65913.7659936647</v>
      </c>
    </row>
    <row r="18" customFormat="false" ht="15" hidden="false" customHeight="true" outlineLevel="0" collapsed="false">
      <c r="B18" s="22" t="s">
        <v>119</v>
      </c>
      <c r="C18" s="36" t="n">
        <f aca="false">Assumptions!C10</f>
        <v>8430</v>
      </c>
    </row>
    <row r="19" customFormat="false" ht="15" hidden="false" customHeight="true" outlineLevel="0" collapsed="false">
      <c r="B19" s="22" t="s">
        <v>120</v>
      </c>
      <c r="C19" s="35" t="n">
        <f aca="false">C17-C18</f>
        <v>57483.7659936647</v>
      </c>
    </row>
    <row r="20" customFormat="false" ht="15" hidden="false" customHeight="true" outlineLevel="0" collapsed="false">
      <c r="B20" s="22" t="s">
        <v>121</v>
      </c>
      <c r="C20" s="37" t="n">
        <f aca="false">Assumptions!C14</f>
        <v>683.344537815126</v>
      </c>
    </row>
    <row r="21" customFormat="false" ht="15" hidden="false" customHeight="true" outlineLevel="0" collapsed="false">
      <c r="B21" s="22" t="s">
        <v>122</v>
      </c>
      <c r="C21" s="38" t="n">
        <f aca="false">C19/C20</f>
        <v>84.1212050621768</v>
      </c>
    </row>
    <row r="22" customFormat="false" ht="15" hidden="false" customHeight="true" outlineLevel="0" collapsed="false">
      <c r="B22" s="22" t="s">
        <v>27</v>
      </c>
      <c r="C22" s="39" t="n">
        <f aca="false">Assumptions!C11</f>
        <v>59.5</v>
      </c>
    </row>
    <row r="23" customFormat="false" ht="15" hidden="false" customHeight="true" outlineLevel="0" collapsed="false">
      <c r="B23" s="22" t="s">
        <v>123</v>
      </c>
      <c r="C23" s="29" t="n">
        <f aca="false">C21/C22-1</f>
        <v>0.413801765750871</v>
      </c>
    </row>
    <row r="24" customFormat="false" ht="15" hidden="false" customHeight="true" outlineLevel="0" collapsed="false">
      <c r="B24" s="22" t="s">
        <v>33</v>
      </c>
      <c r="C24" s="40" t="n">
        <f aca="false">C17/Assumptions!C9</f>
        <v>15.3466277051606</v>
      </c>
    </row>
    <row r="25" customFormat="false" ht="15" hidden="false" customHeight="true" outlineLevel="0" collapsed="false">
      <c r="B25" s="22" t="s">
        <v>34</v>
      </c>
      <c r="C25" s="40" t="n">
        <f aca="false">(Assumptions!C12+Assumptions!C10)/Assumptions!C9</f>
        <v>11.4293364377183</v>
      </c>
    </row>
    <row r="27" customFormat="false" ht="15" hidden="false" customHeight="true" outlineLevel="0" collapsed="false">
      <c r="B27" s="8" t="s">
        <v>124</v>
      </c>
      <c r="C27" s="8"/>
      <c r="D27" s="8"/>
      <c r="E27" s="8"/>
      <c r="F27" s="8"/>
      <c r="G27" s="8"/>
    </row>
    <row r="28" customFormat="false" ht="15" hidden="false" customHeight="true" outlineLevel="0" collapsed="false">
      <c r="B28" s="8"/>
      <c r="C28" s="8"/>
      <c r="D28" s="8"/>
      <c r="E28" s="8"/>
      <c r="F28" s="8"/>
      <c r="G28" s="8"/>
    </row>
    <row r="29" customFormat="false" ht="15" hidden="false" customHeight="true" outlineLevel="0" collapsed="false">
      <c r="B29" s="8"/>
      <c r="C29" s="8"/>
      <c r="D29" s="8"/>
      <c r="E29" s="8"/>
      <c r="F29" s="8"/>
      <c r="G29" s="8"/>
    </row>
    <row r="30" customFormat="false" ht="15" hidden="false" customHeight="true" outlineLevel="0" collapsed="false">
      <c r="B30" s="8"/>
      <c r="C30" s="8"/>
      <c r="D30" s="8"/>
      <c r="E30" s="8"/>
      <c r="F30" s="8"/>
      <c r="G30" s="8"/>
    </row>
  </sheetData>
  <mergeCells count="1">
    <mergeCell ref="B27:G30"/>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16"/>
    <col collapsed="false" customWidth="true" hidden="false" outlineLevel="0" max="7" min="3" style="1" width="11"/>
  </cols>
  <sheetData>
    <row r="2" customFormat="false" ht="18" hidden="false" customHeight="true" outlineLevel="0" collapsed="false">
      <c r="B2" s="2" t="s">
        <v>125</v>
      </c>
    </row>
    <row r="4" customFormat="false" ht="15" hidden="false" customHeight="true" outlineLevel="0" collapsed="false">
      <c r="B4" s="23" t="s">
        <v>126</v>
      </c>
      <c r="C4" s="30" t="n">
        <v>0.015</v>
      </c>
      <c r="D4" s="30" t="n">
        <v>0.0175</v>
      </c>
      <c r="E4" s="30" t="n">
        <v>0.02</v>
      </c>
      <c r="F4" s="30" t="n">
        <v>0.0225</v>
      </c>
    </row>
    <row r="5" customFormat="false" ht="15" hidden="false" customHeight="true" outlineLevel="0" collapsed="false">
      <c r="B5" s="30" t="n">
        <v>0.055</v>
      </c>
      <c r="C5" s="41" t="n">
        <f aca="false">(SUMPRODUCT(DCF!$C$8:$G$8,1/(1+$B5)^{1,2,3,4,5})+DCF!$G$8*(1+C$4)/($B5-C$4)/(1+$B5)^5-Assumptions!$C$10)/Assumptions!$C$14</f>
        <v>108.855503428909</v>
      </c>
      <c r="D5" s="41" t="n">
        <f aca="false">(SUMPRODUCT(DCF!$C$8:$G$8,1/(1+$B5)^{1,2,3,4,5})+DCF!$G$8*(1+D$4)/($B5-D$4)/(1+$B5)^5-Assumptions!$C$10)/Assumptions!$C$14</f>
        <v>115.863410655474</v>
      </c>
      <c r="E5" s="41" t="n">
        <f aca="false">(SUMPRODUCT(DCF!$C$8:$G$8,1/(1+$B5)^{1,2,3,4,5})+DCF!$G$8*(1+E$4)/($B5-E$4)/(1+$B5)^5-Assumptions!$C$10)/Assumptions!$C$14</f>
        <v>123.872447485834</v>
      </c>
      <c r="F5" s="41" t="n">
        <f aca="false">(SUMPRODUCT(DCF!$C$8:$G$8,1/(1+$B5)^{1,2,3,4,5})+DCF!$G$8*(1+F$4)/($B5-F$4)/(1+$B5)^5-Assumptions!$C$10)/Assumptions!$C$14</f>
        <v>133.113643828557</v>
      </c>
    </row>
    <row r="6" customFormat="false" ht="15" hidden="false" customHeight="true" outlineLevel="0" collapsed="false">
      <c r="B6" s="30" t="n">
        <v>0.06</v>
      </c>
      <c r="C6" s="41" t="n">
        <f aca="false">(SUMPRODUCT(DCF!$C$8:$G$8,1/(1+$B6)^{1,2,3,4,5})+DCF!$G$8*(1+C$4)/($B6-C$4)/(1+$B6)^5-Assumptions!$C$10)/Assumptions!$C$14</f>
        <v>95.2363502572475</v>
      </c>
      <c r="D6" s="41" t="n">
        <f aca="false">(SUMPRODUCT(DCF!$C$8:$G$8,1/(1+$B6)^{1,2,3,4,5})+DCF!$G$8*(1+D$4)/($B6-D$4)/(1+$B6)^5-Assumptions!$C$10)/Assumptions!$C$14</f>
        <v>100.629773924124</v>
      </c>
      <c r="E6" s="41" t="n">
        <f aca="false">(SUMPRODUCT(DCF!$C$8:$G$8,1/(1+$B6)^{1,2,3,4,5})+DCF!$G$8*(1+E$4)/($B6-E$4)/(1+$B6)^5-Assumptions!$C$10)/Assumptions!$C$14</f>
        <v>106.69737554936</v>
      </c>
      <c r="F6" s="41" t="n">
        <f aca="false">(SUMPRODUCT(DCF!$C$8:$G$8,1/(1+$B6)^{1,2,3,4,5})+DCF!$G$8*(1+F$4)/($B6-F$4)/(1+$B6)^5-Assumptions!$C$10)/Assumptions!$C$14</f>
        <v>113.573990724627</v>
      </c>
    </row>
    <row r="7" customFormat="false" ht="15" hidden="false" customHeight="true" outlineLevel="0" collapsed="false">
      <c r="B7" s="30" t="n">
        <v>0.065</v>
      </c>
      <c r="C7" s="41" t="n">
        <f aca="false">(SUMPRODUCT(DCF!$C$8:$G$8,1/(1+$B7)^{1,2,3,4,5})+DCF!$G$8*(1+C$4)/($B7-C$4)/(1+$B7)^5-Assumptions!$C$10)/Assumptions!$C$14</f>
        <v>84.3435271321003</v>
      </c>
      <c r="D7" s="41" t="n">
        <f aca="false">(SUMPRODUCT(DCF!$C$8:$G$8,1/(1+$B7)^{1,2,3,4,5})+DCF!$G$8*(1+D$4)/($B7-D$4)/(1+$B7)^5-Assumptions!$C$10)/Assumptions!$C$14</f>
        <v>88.605664043973</v>
      </c>
      <c r="E7" s="41" t="n">
        <f aca="false">(SUMPRODUCT(DCF!$C$8:$G$8,1/(1+$B7)^{1,2,3,4,5})+DCF!$G$8*(1+E$4)/($B7-E$4)/(1+$B7)^5-Assumptions!$C$10)/Assumptions!$C$14</f>
        <v>93.3413717238315</v>
      </c>
      <c r="F7" s="41" t="n">
        <f aca="false">(SUMPRODUCT(DCF!$C$8:$G$8,1/(1+$B7)^{1,2,3,4,5})+DCF!$G$8*(1+F$4)/($B7-F$4)/(1+$B7)^5-Assumptions!$C$10)/Assumptions!$C$14</f>
        <v>98.6342214836734</v>
      </c>
    </row>
    <row r="8" customFormat="false" ht="15" hidden="false" customHeight="true" outlineLevel="0" collapsed="false">
      <c r="B8" s="30" t="n">
        <v>0.069</v>
      </c>
      <c r="C8" s="42" t="n">
        <f aca="false">(SUMPRODUCT(DCF!$C$8:$G$8,1/(1+$B8)^{1,2,3,4,5})+DCF!$G$8*(1+C$4)/($B8-C$4)/(1+$B8)^5-Assumptions!$C$10)/Assumptions!$C$14</f>
        <v>77.083274256357</v>
      </c>
      <c r="D8" s="42" t="n">
        <f aca="false">(SUMPRODUCT(DCF!$C$8:$G$8,1/(1+$B8)^{1,2,3,4,5})+DCF!$G$8*(1+D$4)/($B8-D$4)/(1+$B8)^5-Assumptions!$C$10)/Assumptions!$C$14</f>
        <v>80.669004644268</v>
      </c>
      <c r="E8" s="42" t="n">
        <f aca="false">(SUMPRODUCT(DCF!$C$8:$G$8,1/(1+$B8)^{1,2,3,4,5})+DCF!$G$8*(1+E$4)/($B8-E$4)/(1+$B8)^5-Assumptions!$C$10)/Assumptions!$C$14</f>
        <v>84.6206258880882</v>
      </c>
      <c r="F8" s="42" t="n">
        <f aca="false">(SUMPRODUCT(DCF!$C$8:$G$8,1/(1+$B8)^{1,2,3,4,5})+DCF!$G$8*(1+F$4)/($B8-F$4)/(1+$B8)^5-Assumptions!$C$10)/Assumptions!$C$14</f>
        <v>88.9971526419966</v>
      </c>
    </row>
    <row r="9" customFormat="false" ht="15" hidden="false" customHeight="true" outlineLevel="0" collapsed="false">
      <c r="B9" s="30" t="n">
        <v>0.07</v>
      </c>
      <c r="C9" s="41" t="n">
        <f aca="false">(SUMPRODUCT(DCF!$C$8:$G$8,1/(1+$B9)^{1,2,3,4,5})+DCF!$G$8*(1+C$4)/($B9-C$4)/(1+$B9)^5-Assumptions!$C$10)/Assumptions!$C$14</f>
        <v>75.4334354179424</v>
      </c>
      <c r="D9" s="41" t="n">
        <f aca="false">(SUMPRODUCT(DCF!$C$8:$G$8,1/(1+$B9)^{1,2,3,4,5})+DCF!$G$8*(1+D$4)/($B9-D$4)/(1+$B9)^5-Assumptions!$C$10)/Assumptions!$C$14</f>
        <v>78.874020783809</v>
      </c>
      <c r="E9" s="41" t="n">
        <f aca="false">(SUMPRODUCT(DCF!$C$8:$G$8,1/(1+$B9)^{1,2,3,4,5})+DCF!$G$8*(1+E$4)/($B9-E$4)/(1+$B9)^5-Assumptions!$C$10)/Assumptions!$C$14</f>
        <v>82.6586646862623</v>
      </c>
      <c r="F9" s="41" t="n">
        <f aca="false">(SUMPRODUCT(DCF!$C$8:$G$8,1/(1+$B9)^{1,2,3,4,5})+DCF!$G$8*(1+F$4)/($B9-F$4)/(1+$B9)^5-Assumptions!$C$10)/Assumptions!$C$14</f>
        <v>86.8416921573949</v>
      </c>
    </row>
    <row r="10" customFormat="false" ht="15" hidden="false" customHeight="true" outlineLevel="0" collapsed="false">
      <c r="B10" s="30" t="n">
        <v>0.075</v>
      </c>
      <c r="C10" s="41" t="n">
        <f aca="false">(SUMPRODUCT(DCF!$C$8:$G$8,1/(1+$B10)^{1,2,3,4,5})+DCF!$G$8*(1+C$4)/($B10-C$4)/(1+$B10)^5-Assumptions!$C$10)/Assumptions!$C$14</f>
        <v>68.0103441292256</v>
      </c>
      <c r="D10" s="41" t="n">
        <f aca="false">(SUMPRODUCT(DCF!$C$8:$G$8,1/(1+$B10)^{1,2,3,4,5})+DCF!$G$8*(1+D$4)/($B10-D$4)/(1+$B10)^5-Assumptions!$C$10)/Assumptions!$C$14</f>
        <v>70.8367627742669</v>
      </c>
      <c r="E10" s="41" t="n">
        <f aca="false">(SUMPRODUCT(DCF!$C$8:$G$8,1/(1+$B10)^{1,2,3,4,5})+DCF!$G$8*(1+E$4)/($B10-E$4)/(1+$B10)^5-Assumptions!$C$10)/Assumptions!$C$14</f>
        <v>73.9201285688575</v>
      </c>
      <c r="F10" s="41" t="n">
        <f aca="false">(SUMPRODUCT(DCF!$C$8:$G$8,1/(1+$B10)^{1,2,3,4,5})+DCF!$G$8*(1+F$4)/($B10-F$4)/(1+$B10)^5-Assumptions!$C$10)/Assumptions!$C$14</f>
        <v>77.2971482486471</v>
      </c>
    </row>
    <row r="11" customFormat="false" ht="15" hidden="false" customHeight="true" outlineLevel="0" collapsed="false">
      <c r="B11" s="30" t="n">
        <v>0.08</v>
      </c>
      <c r="C11" s="41" t="n">
        <f aca="false">(SUMPRODUCT(DCF!$C$8:$G$8,1/(1+$B11)^{1,2,3,4,5})+DCF!$G$8*(1+C$4)/($B11-C$4)/(1+$B11)^5-Assumptions!$C$10)/Assumptions!$C$14</f>
        <v>61.7310561737698</v>
      </c>
      <c r="D11" s="41" t="n">
        <f aca="false">(SUMPRODUCT(DCF!$C$8:$G$8,1/(1+$B11)^{1,2,3,4,5})+DCF!$G$8*(1+D$4)/($B11-D$4)/(1+$B11)^5-Assumptions!$C$10)/Assumptions!$C$14</f>
        <v>64.0871959197157</v>
      </c>
      <c r="E11" s="41" t="n">
        <f aca="false">(SUMPRODUCT(DCF!$C$8:$G$8,1/(1+$B11)^{1,2,3,4,5})+DCF!$G$8*(1+E$4)/($B11-E$4)/(1+$B11)^5-Assumptions!$C$10)/Assumptions!$C$14</f>
        <v>66.6396806444904</v>
      </c>
      <c r="F11" s="41" t="n">
        <f aca="false">(SUMPRODUCT(DCF!$C$8:$G$8,1/(1+$B11)^{1,2,3,4,5})+DCF!$G$8*(1+F$4)/($B11-F$4)/(1+$B11)^5-Assumptions!$C$10)/Assumptions!$C$14</f>
        <v>69.4141205627237</v>
      </c>
    </row>
    <row r="14" customFormat="false" ht="15" hidden="false" customHeight="true" outlineLevel="0" collapsed="false">
      <c r="B14" s="8" t="s">
        <v>127</v>
      </c>
      <c r="C14" s="8"/>
      <c r="D14" s="8"/>
      <c r="E14" s="8"/>
      <c r="F14" s="8"/>
      <c r="G14" s="8"/>
    </row>
    <row r="15" customFormat="false" ht="15" hidden="false" customHeight="true" outlineLevel="0" collapsed="false">
      <c r="B15" s="8"/>
      <c r="C15" s="8"/>
      <c r="D15" s="8"/>
      <c r="E15" s="8"/>
      <c r="F15" s="8"/>
      <c r="G15" s="8"/>
    </row>
    <row r="16" customFormat="false" ht="15" hidden="false" customHeight="true" outlineLevel="0" collapsed="false">
      <c r="B16" s="8"/>
      <c r="C16" s="8"/>
      <c r="D16" s="8"/>
      <c r="E16" s="8"/>
      <c r="F16" s="8"/>
      <c r="G16" s="8"/>
    </row>
  </sheetData>
  <mergeCells count="1">
    <mergeCell ref="B14:G16"/>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E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56"/>
    <col collapsed="false" customWidth="true" hidden="false" outlineLevel="0" max="4" min="4" style="1" width="16"/>
  </cols>
  <sheetData>
    <row r="2" customFormat="false" ht="18" hidden="false" customHeight="true" outlineLevel="0" collapsed="false">
      <c r="B2" s="2" t="s">
        <v>15</v>
      </c>
    </row>
    <row r="5" customFormat="false" ht="15" hidden="false" customHeight="true" outlineLevel="0" collapsed="false">
      <c r="B5" s="23" t="s">
        <v>128</v>
      </c>
      <c r="D5" s="23" t="s">
        <v>129</v>
      </c>
    </row>
    <row r="6" customFormat="false" ht="27.75" hidden="false" customHeight="true" outlineLevel="0" collapsed="false">
      <c r="B6" s="43" t="s">
        <v>130</v>
      </c>
      <c r="D6" s="23" t="str">
        <f aca="false">IF(Assumptions!C28&lt;Assumptions!C27,"OK","A VERIFIER")</f>
        <v>OK</v>
      </c>
    </row>
    <row r="7" customFormat="false" ht="27.75" hidden="false" customHeight="true" outlineLevel="0" collapsed="false">
      <c r="B7" s="43" t="s">
        <v>131</v>
      </c>
      <c r="D7" s="23" t="str">
        <f aca="false">IF(ROUND(Assumptions!C25+Assumptions!C26,4)=1,"OK","A VERIFIER")</f>
        <v>OK</v>
      </c>
    </row>
    <row r="8" customFormat="false" ht="27.75" hidden="false" customHeight="true" outlineLevel="0" collapsed="false">
      <c r="B8" s="43" t="s">
        <v>132</v>
      </c>
      <c r="D8" s="23" t="str">
        <f aca="false">IF(MIN(Assumptions!C38:G38)&gt;0,"OK","A VERIFIER")</f>
        <v>OK</v>
      </c>
    </row>
    <row r="9" customFormat="false" ht="27.75" hidden="false" customHeight="true" outlineLevel="0" collapsed="false">
      <c r="B9" s="43" t="s">
        <v>133</v>
      </c>
      <c r="D9" s="23" t="str">
        <f aca="false">IF(ROUND(DCF!C14+DCF!C16-DCF!C17,1)=0,"OK","A VERIFIER")</f>
        <v>OK</v>
      </c>
    </row>
    <row r="10" customFormat="false" ht="27.75" hidden="false" customHeight="true" outlineLevel="0" collapsed="false">
      <c r="B10" s="43" t="s">
        <v>134</v>
      </c>
      <c r="D10" s="23" t="str">
        <f aca="false">IF(ABS(Assumptions!C14*Assumptions!C11/Assumptions!C12-1)&lt;0.01,"OK","A VERIFIER")</f>
        <v>OK</v>
      </c>
    </row>
    <row r="11" customFormat="false" ht="27.75" hidden="false" customHeight="true" outlineLevel="0" collapsed="false">
      <c r="B11" s="43" t="s">
        <v>135</v>
      </c>
      <c r="D11" s="23" t="str">
        <f aca="false">IF(DCF!C19&gt;0,"OK","A VERIFIER")</f>
        <v>OK</v>
      </c>
    </row>
    <row r="25" customFormat="false" ht="15" hidden="false" customHeight="true" outlineLevel="0" collapsed="false">
      <c r="B25" s="23" t="s">
        <v>136</v>
      </c>
      <c r="C25" s="23" t="str">
        <f aca="false">IF(COUNTIF(D6:D11,"OK")=6,"Tous les contrôles sont OK","Au moins un contrôle à vérifier")</f>
        <v>Tous les contrôles sont OK</v>
      </c>
    </row>
    <row r="28" customFormat="false" ht="15" hidden="false" customHeight="true" outlineLevel="0" collapsed="false">
      <c r="B28" s="8" t="s">
        <v>137</v>
      </c>
      <c r="C28" s="8"/>
      <c r="D28" s="8"/>
      <c r="E28" s="8"/>
    </row>
    <row r="29" customFormat="false" ht="15" hidden="false" customHeight="true" outlineLevel="0" collapsed="false">
      <c r="B29" s="8"/>
      <c r="C29" s="8"/>
      <c r="D29" s="8"/>
      <c r="E29" s="8"/>
    </row>
    <row r="30" customFormat="false" ht="15" hidden="false" customHeight="true" outlineLevel="0" collapsed="false">
      <c r="B30" s="8"/>
      <c r="C30" s="8"/>
      <c r="D30" s="8"/>
      <c r="E30" s="8"/>
    </row>
  </sheetData>
  <mergeCells count="1">
    <mergeCell ref="B28:E30"/>
  </mergeCells>
  <conditionalFormatting sqref="D6:D11">
    <cfRule type="expression" priority="2" aboveAverage="0" equalAverage="0" bottom="0" percent="0" rank="0" text="" dxfId="2">
      <formula>D6="OK"</formula>
    </cfRule>
    <cfRule type="expression" priority="3" aboveAverage="0" equalAverage="0" bottom="0" percent="0" rank="0" text="" dxfId="3">
      <formula>D6&lt;&gt;"OK"</formula>
    </cfRule>
  </conditionalFormatting>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2026-10-12T16:40:24Z</dcterms:created>
  <dc:creator>openpyxl</dc:creator>
  <dc:description/>
  <dc:language>en-US</dc:language>
  <cp:lastModifiedBy/>
  <dcterms:modified xsi:type="dcterms:W3CDTF">2026-10-13T16:31:35Z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