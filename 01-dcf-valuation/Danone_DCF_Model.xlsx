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Dashboard" sheetId="2" state="visible" r:id="rId4"/>
    <sheet name="Assumptions" sheetId="3" state="visible" r:id="rId5"/>
    <sheet name="Financials" sheetId="4" state="visible" r:id="rId6"/>
    <sheet name="DCF" sheetId="5" state="visible" r:id="rId7"/>
    <sheet name="Sensitivity" sheetId="6" state="visible" r:id="rId8"/>
    <sheet name="Checks" sheetId="7" state="visible" r:id="rId9"/>
  </sheets>
  <definedNames>
    <definedName function="false" hidden="false" localSheetId="2" name="_xlnm.Print_Area" vbProcedure="false">Assumptions!$A$1:$G$43</definedName>
    <definedName function="false" hidden="false" localSheetId="6" name="_xlnm.Print_Area" vbProcedure="false">Checks!$A$1:$E$30</definedName>
    <definedName function="false" hidden="false" localSheetId="0" name="_xlnm.Print_Area" vbProcedure="false">Cover!$A$1:$F$27</definedName>
    <definedName function="false" hidden="false" localSheetId="1" name="_xlnm.Print_Area" vbProcedure="false">Dashboard!$A$1:$N$25</definedName>
    <definedName function="false" hidden="false" localSheetId="4" name="_xlnm.Print_Area" vbProcedure="false">DCF!$A$1:$G$30</definedName>
    <definedName function="false" hidden="false" localSheetId="3" name="_xlnm.Print_Area" vbProcedure="false">Financials!$A$1:$S$21</definedName>
    <definedName function="false" hidden="false" localSheetId="5" name="_xlnm.Print_Area" vbProcedure="false">Sensitivity!$A$1:$G$16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<sst xmlns="http://schemas.openxmlformats.org/spreadsheetml/2006/main" count="154" uniqueCount="134">
  <si>
    <t xml:space="preserve">Danone (Euronext Paris : BN) - DCF à 2 étages</t>
  </si>
  <si>
    <t xml:space="preserve">Exercice personnel de valorisation - Yvann Ahoure</t>
  </si>
  <si>
    <t xml:space="preserve">Toutes les valeurs sont en millions d'euros (M€), sauf mention contraire.</t>
  </si>
  <si>
    <t xml:space="preserve">Sommaire</t>
  </si>
  <si>
    <t xml:space="preserve">Dashboard</t>
  </si>
  <si>
    <t xml:space="preserve">Synthèse : valeur implicite, écart au marché, sensibilités, contrôles</t>
  </si>
  <si>
    <t xml:space="preserve">Assumptions</t>
  </si>
  <si>
    <t xml:space="preserve">Hypothèses de projection, WACC (CAPM) et données de marché</t>
  </si>
  <si>
    <t xml:space="preserve">Financials</t>
  </si>
  <si>
    <t xml:space="preserve">Compte de résultat et flux de trésorerie simplifiés, FY2023-FY2025</t>
  </si>
  <si>
    <t xml:space="preserve">DCF</t>
  </si>
  <si>
    <t xml:space="preserve">DCF à 2 étages : FCF explicite 5 ans + valeur terminale</t>
  </si>
  <si>
    <t xml:space="preserve">Sensitivity</t>
  </si>
  <si>
    <t xml:space="preserve">Sensibilité de la valeur par action au WACC et à la croissance terminale</t>
  </si>
  <si>
    <t xml:space="preserve">Checks</t>
  </si>
  <si>
    <t xml:space="preserve">Contrôles de cohérence du modèle</t>
  </si>
  <si>
    <t xml:space="preserve">Sources</t>
  </si>
  <si>
    <t xml:space="preserve">- Danone, communiqué de résultats annuels FY2025 "2025: Another year of strong delivery" (20/02/2026).</t>
  </si>
  <si>
    <t xml:space="preserve">- Danone, document de consensus analystes Q2/H1 FY2026 (danone.com/investors, 16 analystes).</t>
  </si>
  <si>
    <t xml:space="preserve">- Boursorama (cours, capitalisation) - relevé le 12/10/2026.</t>
  </si>
  <si>
    <t xml:space="preserve">- stockanalysis.com et valueinvesting.io (bêta, comparables WACC) - relevés le 12/10/2026.</t>
  </si>
  <si>
    <t xml:space="preserve">- tradingeconomics.com (taux souverain français à 10 ans, OAT) - relevé le 12/10/2026.</t>
  </si>
  <si>
    <t xml:space="preserve">- marketscreener.com (multiples EV/EBITDA Nestlé, Unilever, General Mills) - relevé oct. 2026.</t>
  </si>
  <si>
    <t xml:space="preserve">Avertissement : hypothèses de projection (au-delà du consensus 2026), prime de risque actions et croissance terminale sont des estimations personnelles, clairement identifiées comme telles dans l'onglet Assumptions. N'importe quelle incohérence de source (ex. dette nette, bêta) est signalée explicitement plutôt que lissée.</t>
  </si>
  <si>
    <t xml:space="preserve">Dashboard - Danone (EPA : BN)</t>
  </si>
  <si>
    <t xml:space="preserve">RÉSULTATS CLÉS</t>
  </si>
  <si>
    <t xml:space="preserve">Valeur implicite par action (DCF)</t>
  </si>
  <si>
    <t xml:space="preserve">Cours de marché actuel</t>
  </si>
  <si>
    <t xml:space="preserve">Écart DCF vs marché</t>
  </si>
  <si>
    <t xml:space="preserve">Valeur d'entreprise (EV)</t>
  </si>
  <si>
    <t xml:space="preserve">Valeur des fonds propres</t>
  </si>
  <si>
    <t xml:space="preserve">WACC retenu</t>
  </si>
  <si>
    <t xml:space="preserve">Croissance terminale</t>
  </si>
  <si>
    <t xml:space="preserve">VE/EBITDA implicite du DCF</t>
  </si>
  <si>
    <t xml:space="preserve">VE/EBITDA de marché (calculé)</t>
  </si>
  <si>
    <t xml:space="preserve">COMPARABLES BOURSIERS (CONTEXTE)</t>
  </si>
  <si>
    <t xml:space="preserve">marketscreener.com, oct. 2026</t>
  </si>
  <si>
    <t xml:space="preserve">Danone (VE/EBITDA de marché, calculé)</t>
  </si>
  <si>
    <t xml:space="preserve">Nestlé (FY2025)</t>
  </si>
  <si>
    <t xml:space="preserve">Unilever (FY2025)</t>
  </si>
  <si>
    <t xml:space="preserve">General Mills (FY2026, année fiscale mai)</t>
  </si>
  <si>
    <t xml:space="preserve">CONTRÔLES DU MODÈLE</t>
  </si>
  <si>
    <t xml:space="preserve">Voir le détail des contrôles</t>
  </si>
  <si>
    <t xml:space="preserve">Hypothèses</t>
  </si>
  <si>
    <t xml:space="preserve">DONNÉES DE DÉPART (FY2025, exercice clos le 31/12/2025)</t>
  </si>
  <si>
    <t xml:space="preserve">Chiffre d'affaires net FY2025</t>
  </si>
  <si>
    <t xml:space="preserve">Communiqué FY2025, 20/02/2026</t>
  </si>
  <si>
    <t xml:space="preserve">Free cash-flow FY2025 (communiqué par la société)</t>
  </si>
  <si>
    <t xml:space="preserve">Communiqué FY2025</t>
  </si>
  <si>
    <t xml:space="preserve">Résultat opérationnel courant FY2025</t>
  </si>
  <si>
    <t xml:space="preserve">Communiqué FY2025 (marge 13,4 %)</t>
  </si>
  <si>
    <t xml:space="preserve">EBITDA FY2025 (calculé : résultat opérationnel + D&amp;A)</t>
  </si>
  <si>
    <t xml:space="preserve">Calcul perso ; Danone ne publie pas l'EBITDA en ligne dédiée</t>
  </si>
  <si>
    <t xml:space="preserve">Dette financière nette FY2025</t>
  </si>
  <si>
    <t xml:space="preserve">Communiqué FY2025 ; fourchette des sources 8 059-8 547 M€, voir note</t>
  </si>
  <si>
    <t xml:space="preserve">Cours de l'action (12/10/2026)</t>
  </si>
  <si>
    <t xml:space="preserve">Boursorama</t>
  </si>
  <si>
    <t xml:space="preserve">Capitalisation boursière (12/10/2026)</t>
  </si>
  <si>
    <t xml:space="preserve">Bêta retenu (ajusté)</t>
  </si>
  <si>
    <t xml:space="preserve">valueinvesting.io ; stockanalysis.com affiche 0,20 (écarté, hors norme)</t>
  </si>
  <si>
    <t xml:space="preserve">Actions en circulation (calculé = capitalisation / cours, M)</t>
  </si>
  <si>
    <t xml:space="preserve">Base cohérente avec la capitalisation ; diffère du nombre moyen pondéré dilué (645 M) utilisé pour l'EPS</t>
  </si>
  <si>
    <t xml:space="preserve">WACC - MÉTHODE CAPM</t>
  </si>
  <si>
    <t xml:space="preserve">Taux sans risque (OAT France 10 ans)</t>
  </si>
  <si>
    <t xml:space="preserve">tradingeconomics.com - niveau élevé pour une dette souveraine ; voir note ci-dessous</t>
  </si>
  <si>
    <t xml:space="preserve">Prime de risque actions (ERP)</t>
  </si>
  <si>
    <t xml:space="preserve">Hypothèse standard de marché (type Damodaran), non sourcée spécifiquement</t>
  </si>
  <si>
    <t xml:space="preserve">Bêta retenu</t>
  </si>
  <si>
    <t xml:space="preserve">valueinvesting.io (ajusté)</t>
  </si>
  <si>
    <t xml:space="preserve">Coût de la dette avant impôt</t>
  </si>
  <si>
    <t xml:space="preserve">valueinvesting.io (estimation, aucune émission récente identifiée)</t>
  </si>
  <si>
    <t xml:space="preserve">Taux d'IS France</t>
  </si>
  <si>
    <t xml:space="preserve">Taux normal de l'impôt sur les sociétés en France</t>
  </si>
  <si>
    <t xml:space="preserve">Coût des fonds propres (CAPM)</t>
  </si>
  <si>
    <t xml:space="preserve">Coût de la dette après impôt</t>
  </si>
  <si>
    <t xml:space="preserve">Poids des fonds propres (E / (E+D))</t>
  </si>
  <si>
    <t xml:space="preserve">Poids de la dette (D / (E+D))</t>
  </si>
  <si>
    <t xml:space="preserve">WACC</t>
  </si>
  <si>
    <t xml:space="preserve">Hypothèse personnelle, cohérente avec une croissance nominale long terme en zone euro</t>
  </si>
  <si>
    <t xml:space="preserve">Note sur le taux sans risque : l'OAT française à 10 ans se traite début octobre 2026 autour de 4,9 %, un niveau historiquement élevé (risque souverain/budgétaire) plutôt qu'un taux sans risque "propre". Le garder tel quel est prudent (WACC plus élevé, valorisation plus conservatrice) ; un taux allemand (Bund 10 ans) donnerait un WACC et une valeur implicite plus hauts.</t>
  </si>
  <si>
    <t xml:space="preserve">TRAJECTOIRE DE CROISSANCE (hypothèses personnelles au-delà de 2026)</t>
  </si>
  <si>
    <t xml:space="preserve">Année</t>
  </si>
  <si>
    <t xml:space="preserve">2026</t>
  </si>
  <si>
    <t xml:space="preserve">2027</t>
  </si>
  <si>
    <t xml:space="preserve">2028</t>
  </si>
  <si>
    <t xml:space="preserve">2029</t>
  </si>
  <si>
    <t xml:space="preserve">2030</t>
  </si>
  <si>
    <t xml:space="preserve">Croissance du chiffre d'affaires (%)</t>
  </si>
  <si>
    <t xml:space="preserve">Marge de free cash-flow (%)</t>
  </si>
  <si>
    <t xml:space="preserve">2026 : guidance société (ventes LFL +3 % à +5 %) et consensus analystes (croissance publiée médiane +3,0 %).</t>
  </si>
  <si>
    <t xml:space="preserve">2027-2028 : hypothèse personnelle au milieu de la fourchette de guidance (+3,5 %).</t>
  </si>
  <si>
    <t xml:space="preserve">2029-2030 : ralentissement progressif vers la croissance terminale.</t>
  </si>
  <si>
    <t xml:space="preserve">Marge de FCF : hypothèse personnelle d'amélioration progressive, cohérente avec la guidance "résultat opérationnel courant croît plus vite que les ventes". FY2025 réel = 10,3 % (2 799 / 27 283).</t>
  </si>
  <si>
    <t xml:space="preserve">Compte de résultat et flux de trésorerie simplifiés</t>
  </si>
  <si>
    <t xml:space="preserve">COMPTE DE RÉSULTAT</t>
  </si>
  <si>
    <t xml:space="preserve">FY2023A</t>
  </si>
  <si>
    <t xml:space="preserve">FY2024A</t>
  </si>
  <si>
    <t xml:space="preserve">FY2025A</t>
  </si>
  <si>
    <t xml:space="preserve">Chiffre d'affaires net</t>
  </si>
  <si>
    <t xml:space="preserve">Résultat opérationnel courant</t>
  </si>
  <si>
    <t xml:space="preserve">Résultat net, part du Groupe</t>
  </si>
  <si>
    <t xml:space="preserve">Marge opérationnelle courante (%)</t>
  </si>
  <si>
    <t xml:space="preserve">FLUX DE TRÉSORERIE</t>
  </si>
  <si>
    <t xml:space="preserve">Free cash-flow (communiqué par la société)</t>
  </si>
  <si>
    <t xml:space="preserve">Marge de FCF (%)</t>
  </si>
  <si>
    <t xml:space="preserve">Source : communiqués de résultats annuels Danone FY2023 (févr. 2024), FY2024 (févr. 2025) et FY2025 (20/02/2026). Le FY2024 figurant ici est la base de comparaison republiée dans le communiqué FY2025 (27 376 M€), qui peut différer légèrement du chiffre publié à l'origine en 2025 du fait de reclassements mineurs.</t>
  </si>
  <si>
    <t xml:space="preserve">DCF à 2 étages</t>
  </si>
  <si>
    <t xml:space="preserve">Chiffre d'affaires</t>
  </si>
  <si>
    <t xml:space="preserve">Free cash-flow</t>
  </si>
  <si>
    <t xml:space="preserve">Facteur d'actualisation</t>
  </si>
  <si>
    <t xml:space="preserve">VA du free cash-flow</t>
  </si>
  <si>
    <t xml:space="preserve">VALEUR D'ENTREPRISE ET VALEUR DES FONDS PROPRES</t>
  </si>
  <si>
    <t xml:space="preserve">Somme des VA du FCF explicite (2026-2030)</t>
  </si>
  <si>
    <t xml:space="preserve">Valeur terminale (Gordon growth, non actualisée)</t>
  </si>
  <si>
    <t xml:space="preserve">VA de la valeur terminale</t>
  </si>
  <si>
    <t xml:space="preserve">- Dette financière nette</t>
  </si>
  <si>
    <t xml:space="preserve">-&gt; Valeur des fonds propres</t>
  </si>
  <si>
    <t xml:space="preserve">/ Actions en circulation (M)</t>
  </si>
  <si>
    <t xml:space="preserve">-&gt; Valeur implicite par action</t>
  </si>
  <si>
    <t xml:space="preserve">Écart DCF vs marché (%)</t>
  </si>
  <si>
    <t xml:space="preserve">Lecture : le DCF ressort nettement au-dessus du cours de marché (écart positif), avec un multiple VE/EBITDA implicite plus proche de celui des grands comparables mondiaux (Nestlé ~14x, Unilever ~13x, voir onglet Checks) que le multiple de marché actuel de Danone. Point de prudence : le taux sans risque utilisé (OAT France, ~4,9 %) est élevé par rapport à sa moyenne longue, ce qui tend plutôt à réduire la valeur implicite - l'écart constaté n'est donc pas un artefact d'un WACC trop bas.</t>
  </si>
  <si>
    <t xml:space="preserve">Sensibilité - valeur implicite par action (€)</t>
  </si>
  <si>
    <t xml:space="preserve">WACC \ g terminale</t>
  </si>
  <si>
    <t xml:space="preserve">Formule : somme des FCF actualisés sur la trajectoire de l'onglet DCF + valeur terminale (Gordon growth) au couple (WACC, g), moins la dette nette, divisé par le nombre d'actions.</t>
  </si>
  <si>
    <t xml:space="preserve">Contrôle</t>
  </si>
  <si>
    <t xml:space="preserve">Résultat</t>
  </si>
  <si>
    <t xml:space="preserve">Croissance terminale &lt; WACC (sinon valeur terminale indéfinie)</t>
  </si>
  <si>
    <t xml:space="preserve">Poids E/V + D/V = 100 %</t>
  </si>
  <si>
    <t xml:space="preserve">Toutes les marges de FCF projetées sont strictement positives</t>
  </si>
  <si>
    <t xml:space="preserve">VE recalculée (somme VA FCF + VA valeur terminale) = DCF!C17</t>
  </si>
  <si>
    <t xml:space="preserve">Actions en circulation cohérentes avec la capitalisation (à 1 % près)</t>
  </si>
  <si>
    <t xml:space="preserve">Valeur des fonds propres positive</t>
  </si>
  <si>
    <t xml:space="preserve">Synthèse</t>
  </si>
  <si>
    <t xml:space="preserve">Note : ces contrôles vérifient la cohérence interne du modèle (pas d'erreur de construction), pas la justesse des hypothèses elles-mêmes. Les hypothèses de croissance et de marge restent des choix personnels, documentés et sourcés dans l'onglet Assumptions.</t>
  </si>
</sst>
</file>

<file path=xl/styles.xml><?xml version="1.0" encoding="utf-8"?>
<styleSheet xmlns="http://schemas.openxmlformats.org/spreadsheetml/2006/main">
  <numFmts count="10">
    <numFmt numFmtId="164" formatCode="General"/>
    <numFmt numFmtId="165" formatCode="#,##0.00&quot; €&quot;"/>
    <numFmt numFmtId="166" formatCode="0.0%;\(0.0%\);\-"/>
    <numFmt numFmtId="167" formatCode="#,##0;\(#,##0\);\-"/>
    <numFmt numFmtId="168" formatCode="0.00\x;\(0.00&quot;x)&quot;;\-"/>
    <numFmt numFmtId="169" formatCode="0.0\x;\(0.0&quot;x)&quot;;\-"/>
    <numFmt numFmtId="170" formatCode="0.00"/>
    <numFmt numFmtId="171" formatCode="#,##0.0;\(#,##0.0\);\-"/>
    <numFmt numFmtId="172" formatCode="0.000"/>
    <numFmt numFmtId="173" formatCode="#,##0.0&quot; €&quot;"/>
  </numFmts>
  <fonts count="19">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i val="true"/>
      <sz val="9"/>
      <color rgb="FF666666"/>
      <name val="Arial"/>
      <family val="0"/>
      <charset val="1"/>
    </font>
    <font>
      <i val="true"/>
      <sz val="8"/>
      <color rgb="FF7F7F7F"/>
      <name val="Arial"/>
      <family val="0"/>
      <charset val="1"/>
    </font>
    <font>
      <b val="true"/>
      <sz val="11"/>
      <color rgb="FF1F3864"/>
      <name val="Arial"/>
      <family val="0"/>
      <charset val="1"/>
    </font>
    <font>
      <b val="true"/>
      <sz val="10"/>
      <color rgb="FF0000FF"/>
      <name val="Arial"/>
      <family val="0"/>
      <charset val="1"/>
    </font>
    <font>
      <sz val="10"/>
      <color rgb="FF000000"/>
      <name val="Arial"/>
      <family val="0"/>
      <charset val="1"/>
    </font>
    <font>
      <b val="true"/>
      <sz val="10"/>
      <color rgb="FFFFFFFF"/>
      <name val="Arial"/>
      <family val="0"/>
      <charset val="1"/>
    </font>
    <font>
      <sz val="11"/>
      <color theme="1"/>
      <name val="Arial"/>
      <family val="0"/>
      <charset val="1"/>
    </font>
    <font>
      <b val="true"/>
      <sz val="10"/>
      <name val="Arial"/>
      <family val="0"/>
      <charset val="1"/>
    </font>
    <font>
      <sz val="10"/>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
      <sz val="10"/>
      <color rgb="FF008000"/>
      <name val="Arial"/>
      <family val="0"/>
      <charset val="1"/>
    </font>
    <font>
      <b val="true"/>
      <sz val="10"/>
      <color rgb="FF0F6B5C"/>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DE7"/>
        <bgColor rgb="FFF9F9F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10"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5" fontId="12" fillId="0" borderId="0" xfId="0" applyFont="true" applyBorder="false" applyAlignment="true" applyProtection="true">
      <alignment horizontal="general" vertical="bottom" textRotation="0" wrapText="false" indent="0" shrinkToFit="false"/>
      <protection locked="true" hidden="false"/>
    </xf>
    <xf numFmtId="166" fontId="12" fillId="0" borderId="0" xfId="0" applyFont="true" applyBorder="false" applyAlignment="true" applyProtection="true">
      <alignment horizontal="general" vertical="bottom" textRotation="0" wrapText="false" indent="0" shrinkToFit="false"/>
      <protection locked="true" hidden="false"/>
    </xf>
    <xf numFmtId="167" fontId="12" fillId="0" borderId="0" xfId="0" applyFont="true" applyBorder="false" applyAlignment="true" applyProtection="true">
      <alignment horizontal="general" vertical="bottom" textRotation="0" wrapText="false" indent="0" shrinkToFit="false"/>
      <protection locked="true" hidden="false"/>
    </xf>
    <xf numFmtId="168" fontId="12"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9" fontId="12" fillId="0" borderId="0" xfId="0" applyFont="true" applyBorder="false" applyAlignment="true" applyProtection="true">
      <alignment horizontal="general" vertical="bottom" textRotation="0" wrapText="false" indent="0" shrinkToFit="false"/>
      <protection locked="true" hidden="false"/>
    </xf>
    <xf numFmtId="169" fontId="13" fillId="3"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7" fontId="13" fillId="3" borderId="0" xfId="0" applyFont="true" applyBorder="false" applyAlignment="true" applyProtection="true">
      <alignment horizontal="general" vertical="bottom" textRotation="0" wrapText="false" indent="0" shrinkToFit="false"/>
      <protection locked="true" hidden="false"/>
    </xf>
    <xf numFmtId="165" fontId="13" fillId="3" borderId="0" xfId="0" applyFont="true" applyBorder="false" applyAlignment="true" applyProtection="true">
      <alignment horizontal="general" vertical="bottom" textRotation="0" wrapText="false" indent="0" shrinkToFit="false"/>
      <protection locked="true" hidden="false"/>
    </xf>
    <xf numFmtId="170" fontId="13" fillId="3" borderId="0" xfId="0" applyFont="true" applyBorder="false" applyAlignment="true" applyProtection="true">
      <alignment horizontal="general" vertical="bottom" textRotation="0" wrapText="false" indent="0" shrinkToFit="false"/>
      <protection locked="true" hidden="false"/>
    </xf>
    <xf numFmtId="171" fontId="9" fillId="0" borderId="0" xfId="0" applyFont="true" applyBorder="false" applyAlignment="true" applyProtection="true">
      <alignment horizontal="general" vertical="bottom" textRotation="0" wrapText="false" indent="0" shrinkToFit="false"/>
      <protection locked="true" hidden="false"/>
    </xf>
    <xf numFmtId="166" fontId="13" fillId="3" borderId="0" xfId="0" applyFont="true" applyBorder="false" applyAlignment="true" applyProtection="true">
      <alignment horizontal="general" vertical="bottom" textRotation="0" wrapText="false" indent="0" shrinkToFit="false"/>
      <protection locked="true" hidden="false"/>
    </xf>
    <xf numFmtId="166" fontId="11" fillId="0" borderId="0" xfId="0" applyFont="true" applyBorder="false" applyAlignment="true" applyProtection="true">
      <alignment horizontal="general" vertical="bottom" textRotation="0" wrapText="false" indent="0" shrinkToFit="false"/>
      <protection locked="true" hidden="false"/>
    </xf>
    <xf numFmtId="167" fontId="9" fillId="0" borderId="0" xfId="0" applyFont="true" applyBorder="false" applyAlignment="true" applyProtection="true">
      <alignment horizontal="general" vertical="bottom" textRotation="0" wrapText="false" indent="0" shrinkToFit="false"/>
      <protection locked="true" hidden="false"/>
    </xf>
    <xf numFmtId="166" fontId="17" fillId="0" borderId="0" xfId="0" applyFont="true" applyBorder="false" applyAlignment="true" applyProtection="true">
      <alignment horizontal="general" vertical="bottom" textRotation="0" wrapText="false" indent="0" shrinkToFit="false"/>
      <protection locked="true" hidden="false"/>
    </xf>
    <xf numFmtId="172" fontId="9" fillId="0" borderId="0" xfId="0" applyFont="true" applyBorder="false" applyAlignment="true" applyProtection="true">
      <alignment horizontal="general" vertical="bottom" textRotation="0" wrapText="false" indent="0" shrinkToFit="false"/>
      <protection locked="true" hidden="false"/>
    </xf>
    <xf numFmtId="167" fontId="11" fillId="0" borderId="0" xfId="0" applyFont="true" applyBorder="false" applyAlignment="true" applyProtection="true">
      <alignment horizontal="general" vertical="bottom" textRotation="0" wrapText="false" indent="0" shrinkToFit="false"/>
      <protection locked="true" hidden="false"/>
    </xf>
    <xf numFmtId="167" fontId="17" fillId="0" borderId="0" xfId="0" applyFont="true" applyBorder="false" applyAlignment="true" applyProtection="true">
      <alignment horizontal="general" vertical="bottom" textRotation="0" wrapText="false" indent="0" shrinkToFit="false"/>
      <protection locked="true" hidden="false"/>
    </xf>
    <xf numFmtId="171" fontId="17" fillId="0" borderId="0" xfId="0" applyFont="true" applyBorder="false" applyAlignment="true" applyProtection="true">
      <alignment horizontal="general" vertical="bottom" textRotation="0" wrapText="false" indent="0" shrinkToFit="false"/>
      <protection locked="true" hidden="false"/>
    </xf>
    <xf numFmtId="165" fontId="17" fillId="0" borderId="0" xfId="0" applyFont="true" applyBorder="false" applyAlignment="true" applyProtection="true">
      <alignment horizontal="general" vertical="bottom" textRotation="0" wrapText="false" indent="0" shrinkToFit="false"/>
      <protection locked="true" hidden="false"/>
    </xf>
    <xf numFmtId="168" fontId="11" fillId="0" borderId="0" xfId="0" applyFont="true" applyBorder="false" applyAlignment="true" applyProtection="true">
      <alignment horizontal="general" vertical="bottom" textRotation="0" wrapText="false" indent="0" shrinkToFit="false"/>
      <protection locked="true" hidden="false"/>
    </xf>
    <xf numFmtId="173" fontId="11" fillId="0" borderId="0" xfId="0" applyFont="true" applyBorder="false" applyAlignment="true" applyProtection="true">
      <alignment horizontal="general" vertical="bottom" textRotation="0" wrapText="false" indent="0" shrinkToFit="false"/>
      <protection locked="true" hidden="false"/>
    </xf>
    <xf numFmtId="173" fontId="18"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b val="1"/>
        <color rgb="FF2E7D32"/>
      </font>
      <fill>
        <patternFill>
          <bgColor rgb="FFE2F0D9"/>
        </patternFill>
      </fill>
    </dxf>
    <dxf>
      <font>
        <name val="Arial"/>
        <charset val="1"/>
        <family val="0"/>
        <b val="1"/>
        <color rgb="FFC62828"/>
      </font>
      <fill>
        <patternFill>
          <bgColor rgb="FFFCE4E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6B5C"/>
      <rgbColor rgb="FFB3B3B3"/>
      <rgbColor rgb="FF7F7F7F"/>
      <rgbColor rgb="FF9999FF"/>
      <rgbColor rgb="FF993366"/>
      <rgbColor rgb="FFFFFDE7"/>
      <rgbColor rgb="FFF9F9F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0E0E0"/>
      <rgbColor rgb="FFE2F0D9"/>
      <rgbColor rgb="FFFFFF99"/>
      <rgbColor rgb="FF99CCFF"/>
      <rgbColor rgb="FFFF99CC"/>
      <rgbColor rgb="FFCC99FF"/>
      <rgbColor rgb="FFFCE4E4"/>
      <rgbColor rgb="FF4F81BD"/>
      <rgbColor rgb="FF33CCCC"/>
      <rgbColor rgb="FF99CC00"/>
      <rgbColor rgb="FFFFCC00"/>
      <rgbColor rgb="FFFF9900"/>
      <rgbColor rgb="FFC55A11"/>
      <rgbColor rgb="FF666666"/>
      <rgbColor rgb="FF878787"/>
      <rgbColor rgb="FF1F3864"/>
      <rgbColor rgb="FF2E7D32"/>
      <rgbColor rgb="FF003300"/>
      <rgbColor rgb="FF333300"/>
      <rgbColor rgb="FFC62828"/>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Valeur implicite vs cours de marché (€)</a:t>
            </a:r>
          </a:p>
        </c:rich>
      </c:tx>
      <c:overlay val="0"/>
      <c:spPr>
        <a:noFill/>
        <a:ln w="0">
          <a:noFill/>
        </a:ln>
      </c:spPr>
    </c:title>
    <c:autoTitleDeleted val="0"/>
    <c:plotArea>
      <c:barChart>
        <c:barDir val="col"/>
        <c:grouping val="clustered"/>
        <c:varyColors val="0"/>
        <c:ser>
          <c:idx val="0"/>
          <c:order val="0"/>
          <c:spPr>
            <a:solidFill>
              <a:srgbClr val="4f81bd"/>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Dashboard!$B$6:$B$7</c:f>
              <c:strCache>
                <c:ptCount val="2"/>
                <c:pt idx="0">
                  <c:v>Valeur implicite par action (DCF)</c:v>
                </c:pt>
                <c:pt idx="1">
                  <c:v>Cours de marché actuel</c:v>
                </c:pt>
              </c:strCache>
            </c:strRef>
          </c:cat>
          <c:val>
            <c:numRef>
              <c:f>Dashboard!$D$6:$D$7</c:f>
              <c:numCache>
                <c:formatCode>#,##0.00" €"</c:formatCode>
                <c:ptCount val="2"/>
                <c:pt idx="0">
                  <c:v>84.1212050621768</c:v>
                </c:pt>
                <c:pt idx="1">
                  <c:v>59.5</c:v>
                </c:pt>
              </c:numCache>
            </c:numRef>
          </c:val>
        </c:ser>
        <c:gapWidth val="150"/>
        <c:overlap val="0"/>
        <c:axId val="89511108"/>
        <c:axId val="49496175"/>
      </c:barChart>
      <c:catAx>
        <c:axId val="89511108"/>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496175"/>
        <c:crosses val="autoZero"/>
        <c:auto val="1"/>
        <c:lblAlgn val="ctr"/>
        <c:lblOffset val="100"/>
        <c:noMultiLvlLbl val="0"/>
      </c:catAx>
      <c:valAx>
        <c:axId val="4949617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 action</a:t>
                </a:r>
              </a:p>
            </c:rich>
          </c:tx>
          <c:overlay val="0"/>
          <c:spPr>
            <a:noFill/>
            <a:ln w="0">
              <a:noFill/>
            </a:ln>
          </c:spPr>
        </c:title>
        <c:numFmt formatCode="#,##0.00&quot; €&quot;"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51110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Chiffre d'affaires et résultat opérationnel courant (M€)</a:t>
            </a:r>
          </a:p>
        </c:rich>
      </c:tx>
      <c:overlay val="0"/>
      <c:spPr>
        <a:noFill/>
        <a:ln w="0">
          <a:noFill/>
        </a:ln>
      </c:spPr>
    </c:title>
    <c:autoTitleDeleted val="0"/>
    <c:plotArea>
      <c:barChart>
        <c:barDir val="col"/>
        <c:grouping val="clustered"/>
        <c:varyColors val="0"/>
        <c:ser>
          <c:idx val="0"/>
          <c:order val="0"/>
          <c:tx>
            <c:strRef>
              <c:f>Financials!B7</c:f>
              <c:strCache>
                <c:ptCount val="1"/>
                <c:pt idx="0">
                  <c:v>Chiffre d'affaires net</c:v>
                </c:pt>
              </c:strCache>
            </c:strRef>
          </c:tx>
          <c:spPr>
            <a:solidFill>
              <a:srgbClr val="1f3864"/>
            </a:solidFill>
            <a:ln w="0">
              <a:solidFill>
                <a:srgbClr val="1f3864"/>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Financials!$C$6:$E$6</c:f>
              <c:strCache>
                <c:ptCount val="3"/>
                <c:pt idx="0">
                  <c:v>FY2023A</c:v>
                </c:pt>
                <c:pt idx="1">
                  <c:v>FY2024A</c:v>
                </c:pt>
                <c:pt idx="2">
                  <c:v>FY2025A</c:v>
                </c:pt>
              </c:strCache>
            </c:strRef>
          </c:cat>
          <c:val>
            <c:numRef>
              <c:f>Financials!$C$7:$E$7</c:f>
              <c:numCache>
                <c:formatCode>#,##0;\(#,##0\);\-</c:formatCode>
                <c:ptCount val="3"/>
                <c:pt idx="0">
                  <c:v>27622</c:v>
                </c:pt>
                <c:pt idx="1">
                  <c:v>27376</c:v>
                </c:pt>
                <c:pt idx="2">
                  <c:v>27283</c:v>
                </c:pt>
              </c:numCache>
            </c:numRef>
          </c:val>
        </c:ser>
        <c:ser>
          <c:idx val="1"/>
          <c:order val="1"/>
          <c:tx>
            <c:strRef>
              <c:f>Financials!B8</c:f>
              <c:strCache>
                <c:ptCount val="1"/>
                <c:pt idx="0">
                  <c:v>Résultat opérationnel courant</c:v>
                </c:pt>
              </c:strCache>
            </c:strRef>
          </c:tx>
          <c:spPr>
            <a:solidFill>
              <a:srgbClr val="c55a11"/>
            </a:solidFill>
            <a:ln w="0">
              <a:solidFill>
                <a:srgbClr val="c55a11"/>
              </a:solidFill>
            </a:ln>
          </c:spPr>
          <c:invertIfNegative val="0"/>
          <c:dLbls>
            <c:numFmt formatCode="#,##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Financials!$C$6:$E$6</c:f>
              <c:strCache>
                <c:ptCount val="3"/>
                <c:pt idx="0">
                  <c:v>FY2023A</c:v>
                </c:pt>
                <c:pt idx="1">
                  <c:v>FY2024A</c:v>
                </c:pt>
                <c:pt idx="2">
                  <c:v>FY2025A</c:v>
                </c:pt>
              </c:strCache>
            </c:strRef>
          </c:cat>
          <c:val>
            <c:numRef>
              <c:f>Financials!$C$8:$E$8</c:f>
              <c:numCache>
                <c:formatCode>#,##0;\(#,##0\);\-</c:formatCode>
                <c:ptCount val="3"/>
                <c:pt idx="0">
                  <c:v>3351</c:v>
                </c:pt>
                <c:pt idx="1">
                  <c:v>3514</c:v>
                </c:pt>
                <c:pt idx="2">
                  <c:v>3665</c:v>
                </c:pt>
              </c:numCache>
            </c:numRef>
          </c:val>
        </c:ser>
        <c:gapWidth val="150"/>
        <c:overlap val="0"/>
        <c:axId val="73585821"/>
        <c:axId val="65812202"/>
      </c:barChart>
      <c:catAx>
        <c:axId val="7358582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5812202"/>
        <c:crosses val="autoZero"/>
        <c:auto val="1"/>
        <c:lblAlgn val="ctr"/>
        <c:lblOffset val="100"/>
        <c:noMultiLvlLbl val="0"/>
      </c:catAx>
      <c:valAx>
        <c:axId val="65812202"/>
        <c:scaling>
          <c:orientation val="minMax"/>
        </c:scaling>
        <c:delete val="0"/>
        <c:axPos val="l"/>
        <c:majorGridlines>
          <c:spPr>
            <a:ln w="9360">
              <a:solidFill>
                <a:srgbClr val="e0e0e0"/>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358582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4</xdr:row>
      <xdr:rowOff>183600</xdr:rowOff>
    </xdr:from>
    <xdr:to>
      <xdr:col>12</xdr:col>
      <xdr:colOff>36000</xdr:colOff>
      <xdr:row>17</xdr:row>
      <xdr:rowOff>147240</xdr:rowOff>
    </xdr:to>
    <xdr:graphicFrame>
      <xdr:nvGraphicFramePr>
        <xdr:cNvPr id="0" name="Chart 1"/>
        <xdr:cNvGraphicFramePr/>
      </xdr:nvGraphicFramePr>
      <xdr:xfrm>
        <a:off x="7707600" y="983880"/>
        <a:ext cx="4316400" cy="2516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4</xdr:row>
      <xdr:rowOff>0</xdr:rowOff>
    </xdr:from>
    <xdr:to>
      <xdr:col>17</xdr:col>
      <xdr:colOff>253440</xdr:colOff>
      <xdr:row>18</xdr:row>
      <xdr:rowOff>133560</xdr:rowOff>
    </xdr:to>
    <xdr:graphicFrame>
      <xdr:nvGraphicFramePr>
        <xdr:cNvPr id="1" name="Chart 1"/>
        <xdr:cNvGraphicFramePr/>
      </xdr:nvGraphicFramePr>
      <xdr:xfrm>
        <a:off x="8155440" y="800280"/>
        <a:ext cx="5756760" cy="2876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20"/>
    <col collapsed="false" customWidth="true" hidden="false" outlineLevel="0" max="3" min="3" style="1" width="62"/>
  </cols>
  <sheetData>
    <row r="2" customFormat="false" ht="18" hidden="false" customHeight="true" outlineLevel="0" collapsed="false">
      <c r="B2" s="2" t="s">
        <v>0</v>
      </c>
    </row>
    <row r="3" customFormat="false" ht="15" hidden="false" customHeight="true" outlineLevel="0" collapsed="false">
      <c r="B3" s="3" t="s">
        <v>1</v>
      </c>
    </row>
    <row r="4" customFormat="false" ht="15" hidden="false" customHeight="true" outlineLevel="0" collapsed="false">
      <c r="B4" s="4" t="s">
        <v>2</v>
      </c>
    </row>
    <row r="6" customFormat="false" ht="15" hidden="false" customHeight="true" outlineLevel="0" collapsed="false">
      <c r="B6" s="5" t="s">
        <v>3</v>
      </c>
    </row>
    <row r="8" customFormat="false" ht="15" hidden="false" customHeight="true" outlineLevel="0" collapsed="false">
      <c r="B8" s="6" t="s">
        <v>4</v>
      </c>
      <c r="C8" s="7" t="s">
        <v>5</v>
      </c>
    </row>
    <row r="9" customFormat="false" ht="15" hidden="false" customHeight="true" outlineLevel="0" collapsed="false">
      <c r="B9" s="6" t="s">
        <v>6</v>
      </c>
      <c r="C9" s="7" t="s">
        <v>7</v>
      </c>
    </row>
    <row r="10" customFormat="false" ht="15" hidden="false" customHeight="true" outlineLevel="0" collapsed="false">
      <c r="B10" s="6" t="s">
        <v>8</v>
      </c>
      <c r="C10" s="7" t="s">
        <v>9</v>
      </c>
    </row>
    <row r="11" customFormat="false" ht="15" hidden="false" customHeight="true" outlineLevel="0" collapsed="false">
      <c r="B11" s="6" t="s">
        <v>10</v>
      </c>
      <c r="C11" s="7" t="s">
        <v>11</v>
      </c>
    </row>
    <row r="12" customFormat="false" ht="15" hidden="false" customHeight="true" outlineLevel="0" collapsed="false">
      <c r="B12" s="6" t="s">
        <v>12</v>
      </c>
      <c r="C12" s="7" t="s">
        <v>13</v>
      </c>
    </row>
    <row r="13" customFormat="false" ht="15" hidden="false" customHeight="true" outlineLevel="0" collapsed="false">
      <c r="B13" s="6" t="s">
        <v>14</v>
      </c>
      <c r="C13" s="7" t="s">
        <v>15</v>
      </c>
    </row>
    <row r="16" customFormat="false" ht="15" hidden="false" customHeight="true" outlineLevel="0" collapsed="false">
      <c r="B16" s="5" t="s">
        <v>16</v>
      </c>
    </row>
    <row r="17" customFormat="false" ht="15" hidden="false" customHeight="true" outlineLevel="0" collapsed="false">
      <c r="B17" s="3" t="s">
        <v>17</v>
      </c>
    </row>
    <row r="18" customFormat="false" ht="15" hidden="false" customHeight="true" outlineLevel="0" collapsed="false">
      <c r="B18" s="3" t="s">
        <v>18</v>
      </c>
    </row>
    <row r="19" customFormat="false" ht="15" hidden="false" customHeight="true" outlineLevel="0" collapsed="false">
      <c r="B19" s="3" t="s">
        <v>19</v>
      </c>
    </row>
    <row r="20" customFormat="false" ht="15" hidden="false" customHeight="true" outlineLevel="0" collapsed="false">
      <c r="B20" s="3" t="s">
        <v>20</v>
      </c>
    </row>
    <row r="21" customFormat="false" ht="15" hidden="false" customHeight="true" outlineLevel="0" collapsed="false">
      <c r="B21" s="3" t="s">
        <v>21</v>
      </c>
    </row>
    <row r="22" customFormat="false" ht="15" hidden="false" customHeight="true" outlineLevel="0" collapsed="false">
      <c r="B22" s="3" t="s">
        <v>22</v>
      </c>
    </row>
    <row r="24" customFormat="false" ht="15" hidden="false" customHeight="true" outlineLevel="0" collapsed="false">
      <c r="B24" s="8" t="s">
        <v>23</v>
      </c>
      <c r="C24" s="8"/>
      <c r="D24" s="8"/>
      <c r="E24" s="8"/>
      <c r="F24" s="8"/>
    </row>
    <row r="25" customFormat="false" ht="15" hidden="false" customHeight="true" outlineLevel="0" collapsed="false">
      <c r="B25" s="8"/>
      <c r="C25" s="8"/>
      <c r="D25" s="8"/>
      <c r="E25" s="8"/>
      <c r="F25" s="8"/>
    </row>
    <row r="26" customFormat="false" ht="15" hidden="false" customHeight="true" outlineLevel="0" collapsed="false">
      <c r="B26" s="8"/>
      <c r="C26" s="8"/>
      <c r="D26" s="8"/>
      <c r="E26" s="8"/>
      <c r="F26" s="8"/>
    </row>
    <row r="27" customFormat="false" ht="15" hidden="false" customHeight="true" outlineLevel="0" collapsed="false">
      <c r="B27" s="8"/>
      <c r="C27" s="8"/>
      <c r="D27" s="8"/>
      <c r="E27" s="8"/>
      <c r="F27" s="8"/>
    </row>
  </sheetData>
  <mergeCells count="1">
    <mergeCell ref="B24:F27"/>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42"/>
    <col collapsed="false" customWidth="true" hidden="false" outlineLevel="0" max="4" min="4" style="1" width="16"/>
    <col collapsed="false" customWidth="true" hidden="false" outlineLevel="0" max="5" min="5" style="1" width="34"/>
  </cols>
  <sheetData>
    <row r="2" customFormat="false" ht="18" hidden="false" customHeight="true" outlineLevel="0" collapsed="false">
      <c r="B2" s="2" t="s">
        <v>24</v>
      </c>
    </row>
    <row r="3" customFormat="false" ht="15" hidden="false" customHeight="true" outlineLevel="0" collapsed="false">
      <c r="B3" s="4" t="s">
        <v>2</v>
      </c>
    </row>
    <row r="5" customFormat="false" ht="18" hidden="false" customHeight="true" outlineLevel="0" collapsed="false">
      <c r="B5" s="9" t="s">
        <v>25</v>
      </c>
      <c r="C5" s="10"/>
      <c r="D5" s="10"/>
      <c r="E5" s="10"/>
      <c r="F5" s="10"/>
      <c r="G5" s="10"/>
    </row>
    <row r="6" customFormat="false" ht="15" hidden="false" customHeight="true" outlineLevel="0" collapsed="false">
      <c r="B6" s="11" t="s">
        <v>26</v>
      </c>
      <c r="D6" s="12" t="n">
        <f aca="false">DCF!C21</f>
        <v>84.1212050621768</v>
      </c>
    </row>
    <row r="7" customFormat="false" ht="15" hidden="false" customHeight="true" outlineLevel="0" collapsed="false">
      <c r="B7" s="11" t="s">
        <v>27</v>
      </c>
      <c r="D7" s="12" t="n">
        <f aca="false">DCF!C22</f>
        <v>59.5</v>
      </c>
    </row>
    <row r="8" customFormat="false" ht="15" hidden="false" customHeight="true" outlineLevel="0" collapsed="false">
      <c r="B8" s="11" t="s">
        <v>28</v>
      </c>
      <c r="D8" s="13" t="n">
        <f aca="false">DCF!C23</f>
        <v>0.413801765750871</v>
      </c>
    </row>
    <row r="9" customFormat="false" ht="15" hidden="false" customHeight="true" outlineLevel="0" collapsed="false">
      <c r="B9" s="11" t="s">
        <v>29</v>
      </c>
      <c r="D9" s="14" t="n">
        <f aca="false">DCF!C17</f>
        <v>65913.7659936647</v>
      </c>
    </row>
    <row r="10" customFormat="false" ht="15" hidden="false" customHeight="true" outlineLevel="0" collapsed="false">
      <c r="B10" s="11" t="s">
        <v>30</v>
      </c>
      <c r="D10" s="14" t="n">
        <f aca="false">DCF!C19</f>
        <v>57483.7659936647</v>
      </c>
    </row>
    <row r="11" customFormat="false" ht="15" hidden="false" customHeight="true" outlineLevel="0" collapsed="false">
      <c r="B11" s="11" t="s">
        <v>31</v>
      </c>
      <c r="D11" s="13" t="n">
        <f aca="false">Assumptions!C27</f>
        <v>0.069250733361853</v>
      </c>
    </row>
    <row r="12" customFormat="false" ht="15" hidden="false" customHeight="true" outlineLevel="0" collapsed="false">
      <c r="B12" s="11" t="s">
        <v>32</v>
      </c>
      <c r="D12" s="13" t="n">
        <f aca="false">Assumptions!C28</f>
        <v>0.02</v>
      </c>
    </row>
    <row r="13" customFormat="false" ht="15" hidden="false" customHeight="true" outlineLevel="0" collapsed="false">
      <c r="B13" s="11" t="s">
        <v>33</v>
      </c>
      <c r="D13" s="15" t="n">
        <f aca="false">DCF!C24</f>
        <v>15.3466277051606</v>
      </c>
    </row>
    <row r="14" customFormat="false" ht="15" hidden="false" customHeight="true" outlineLevel="0" collapsed="false">
      <c r="B14" s="11" t="s">
        <v>34</v>
      </c>
      <c r="D14" s="15" t="n">
        <f aca="false">DCF!C25</f>
        <v>11.4293364377183</v>
      </c>
    </row>
    <row r="17" customFormat="false" ht="18" hidden="false" customHeight="true" outlineLevel="0" collapsed="false">
      <c r="B17" s="9" t="s">
        <v>35</v>
      </c>
      <c r="C17" s="10"/>
      <c r="D17" s="10"/>
      <c r="E17" s="16" t="s">
        <v>36</v>
      </c>
      <c r="F17" s="10"/>
      <c r="G17" s="10"/>
    </row>
    <row r="18" customFormat="false" ht="15" hidden="false" customHeight="true" outlineLevel="0" collapsed="false">
      <c r="B18" s="11" t="s">
        <v>37</v>
      </c>
      <c r="D18" s="17" t="n">
        <f aca="false">DCF!C25</f>
        <v>11.4293364377183</v>
      </c>
    </row>
    <row r="19" customFormat="false" ht="15" hidden="false" customHeight="true" outlineLevel="0" collapsed="false">
      <c r="B19" s="11" t="s">
        <v>38</v>
      </c>
      <c r="D19" s="18" t="n">
        <v>14.1</v>
      </c>
    </row>
    <row r="20" customFormat="false" ht="15" hidden="false" customHeight="true" outlineLevel="0" collapsed="false">
      <c r="B20" s="11" t="s">
        <v>39</v>
      </c>
      <c r="D20" s="18" t="n">
        <v>12.7</v>
      </c>
    </row>
    <row r="21" customFormat="false" ht="15" hidden="false" customHeight="true" outlineLevel="0" collapsed="false">
      <c r="B21" s="11" t="s">
        <v>40</v>
      </c>
      <c r="D21" s="18" t="n">
        <v>9.25</v>
      </c>
    </row>
    <row r="24" customFormat="false" ht="18" hidden="false" customHeight="true" outlineLevel="0" collapsed="false">
      <c r="B24" s="9" t="s">
        <v>41</v>
      </c>
      <c r="C24" s="10"/>
      <c r="D24" s="10"/>
      <c r="E24" s="10"/>
      <c r="F24" s="10"/>
      <c r="G24" s="10"/>
    </row>
    <row r="25" customFormat="false" ht="15" hidden="false" customHeight="true" outlineLevel="0" collapsed="false">
      <c r="B25" s="11" t="s">
        <v>42</v>
      </c>
      <c r="D25" s="19" t="str">
        <f aca="false">Checks!C25</f>
        <v>Tous les contrôles sont OK</v>
      </c>
    </row>
  </sheetData>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50"/>
    <col collapsed="false" customWidth="true" hidden="false" outlineLevel="0" max="4" min="3" style="1" width="12"/>
    <col collapsed="false" customWidth="true" hidden="false" outlineLevel="0" max="5" min="5" style="1" width="48"/>
    <col collapsed="false" customWidth="true" hidden="false" outlineLevel="0" max="7" min="6" style="1" width="12"/>
  </cols>
  <sheetData>
    <row r="2" customFormat="false" ht="18" hidden="false" customHeight="true" outlineLevel="0" collapsed="false">
      <c r="B2" s="2" t="s">
        <v>43</v>
      </c>
    </row>
    <row r="3" customFormat="false" ht="15" hidden="false" customHeight="true" outlineLevel="0" collapsed="false">
      <c r="B3" s="4" t="s">
        <v>2</v>
      </c>
    </row>
    <row r="5" customFormat="false" ht="18" hidden="false" customHeight="true" outlineLevel="0" collapsed="false">
      <c r="B5" s="9" t="s">
        <v>44</v>
      </c>
      <c r="C5" s="10"/>
      <c r="D5" s="10"/>
      <c r="E5" s="10"/>
      <c r="F5" s="10"/>
      <c r="G5" s="10"/>
    </row>
    <row r="6" customFormat="false" ht="15" hidden="false" customHeight="true" outlineLevel="0" collapsed="false">
      <c r="B6" s="11" t="s">
        <v>45</v>
      </c>
      <c r="C6" s="20" t="n">
        <v>27283</v>
      </c>
      <c r="E6" s="3" t="s">
        <v>46</v>
      </c>
    </row>
    <row r="7" customFormat="false" ht="15" hidden="false" customHeight="true" outlineLevel="0" collapsed="false">
      <c r="B7" s="11" t="s">
        <v>47</v>
      </c>
      <c r="C7" s="20" t="n">
        <v>2799</v>
      </c>
      <c r="E7" s="3" t="s">
        <v>48</v>
      </c>
    </row>
    <row r="8" customFormat="false" ht="15" hidden="false" customHeight="true" outlineLevel="0" collapsed="false">
      <c r="B8" s="11" t="s">
        <v>49</v>
      </c>
      <c r="C8" s="20" t="n">
        <v>3665</v>
      </c>
      <c r="E8" s="3" t="s">
        <v>50</v>
      </c>
    </row>
    <row r="9" customFormat="false" ht="15" hidden="false" customHeight="true" outlineLevel="0" collapsed="false">
      <c r="B9" s="11" t="s">
        <v>51</v>
      </c>
      <c r="C9" s="20" t="n">
        <v>4295</v>
      </c>
      <c r="E9" s="3" t="s">
        <v>52</v>
      </c>
    </row>
    <row r="10" customFormat="false" ht="15" hidden="false" customHeight="true" outlineLevel="0" collapsed="false">
      <c r="B10" s="11" t="s">
        <v>53</v>
      </c>
      <c r="C10" s="20" t="n">
        <v>8430</v>
      </c>
      <c r="E10" s="3" t="s">
        <v>54</v>
      </c>
    </row>
    <row r="11" customFormat="false" ht="15" hidden="false" customHeight="true" outlineLevel="0" collapsed="false">
      <c r="B11" s="11" t="s">
        <v>55</v>
      </c>
      <c r="C11" s="21" t="n">
        <v>59.5</v>
      </c>
      <c r="E11" s="3" t="s">
        <v>56</v>
      </c>
    </row>
    <row r="12" customFormat="false" ht="15" hidden="false" customHeight="true" outlineLevel="0" collapsed="false">
      <c r="B12" s="11" t="s">
        <v>57</v>
      </c>
      <c r="C12" s="20" t="n">
        <v>40659</v>
      </c>
      <c r="E12" s="3" t="s">
        <v>56</v>
      </c>
    </row>
    <row r="13" customFormat="false" ht="15" hidden="false" customHeight="true" outlineLevel="0" collapsed="false">
      <c r="B13" s="11" t="s">
        <v>58</v>
      </c>
      <c r="C13" s="22" t="n">
        <v>0.56</v>
      </c>
      <c r="E13" s="3" t="s">
        <v>59</v>
      </c>
    </row>
    <row r="14" customFormat="false" ht="15" hidden="false" customHeight="true" outlineLevel="0" collapsed="false">
      <c r="B14" s="11" t="s">
        <v>60</v>
      </c>
      <c r="C14" s="23" t="n">
        <f aca="false">C12/C11</f>
        <v>683.344537815126</v>
      </c>
      <c r="E14" s="3" t="s">
        <v>61</v>
      </c>
    </row>
    <row r="17" customFormat="false" ht="18" hidden="false" customHeight="true" outlineLevel="0" collapsed="false">
      <c r="B17" s="9" t="s">
        <v>62</v>
      </c>
      <c r="C17" s="10"/>
      <c r="D17" s="10"/>
      <c r="E17" s="10"/>
      <c r="F17" s="10"/>
      <c r="G17" s="10"/>
    </row>
    <row r="18" customFormat="false" ht="15" hidden="false" customHeight="true" outlineLevel="0" collapsed="false">
      <c r="B18" s="11" t="s">
        <v>63</v>
      </c>
      <c r="C18" s="24" t="n">
        <v>0.049</v>
      </c>
      <c r="E18" s="3" t="s">
        <v>64</v>
      </c>
    </row>
    <row r="19" customFormat="false" ht="15" hidden="false" customHeight="true" outlineLevel="0" collapsed="false">
      <c r="B19" s="11" t="s">
        <v>65</v>
      </c>
      <c r="C19" s="24" t="n">
        <v>0.05</v>
      </c>
      <c r="E19" s="3" t="s">
        <v>66</v>
      </c>
    </row>
    <row r="20" customFormat="false" ht="15" hidden="false" customHeight="true" outlineLevel="0" collapsed="false">
      <c r="B20" s="11" t="s">
        <v>67</v>
      </c>
      <c r="C20" s="22" t="n">
        <v>0.56</v>
      </c>
      <c r="E20" s="3" t="s">
        <v>68</v>
      </c>
    </row>
    <row r="21" customFormat="false" ht="15" hidden="false" customHeight="true" outlineLevel="0" collapsed="false">
      <c r="B21" s="11" t="s">
        <v>69</v>
      </c>
      <c r="C21" s="24" t="n">
        <v>0.0425</v>
      </c>
      <c r="E21" s="3" t="s">
        <v>70</v>
      </c>
    </row>
    <row r="22" customFormat="false" ht="15" hidden="false" customHeight="true" outlineLevel="0" collapsed="false">
      <c r="B22" s="11" t="s">
        <v>71</v>
      </c>
      <c r="C22" s="24" t="n">
        <v>0.25</v>
      </c>
      <c r="E22" s="3" t="s">
        <v>72</v>
      </c>
    </row>
    <row r="23" customFormat="false" ht="15" hidden="false" customHeight="true" outlineLevel="0" collapsed="false">
      <c r="B23" s="11" t="s">
        <v>73</v>
      </c>
      <c r="C23" s="25" t="n">
        <f aca="false">C18+C20*C19</f>
        <v>0.077</v>
      </c>
    </row>
    <row r="24" customFormat="false" ht="15" hidden="false" customHeight="true" outlineLevel="0" collapsed="false">
      <c r="B24" s="11" t="s">
        <v>74</v>
      </c>
      <c r="C24" s="25" t="n">
        <f aca="false">C21*(1-C22)</f>
        <v>0.031875</v>
      </c>
    </row>
    <row r="25" customFormat="false" ht="15" hidden="false" customHeight="true" outlineLevel="0" collapsed="false">
      <c r="B25" s="11" t="s">
        <v>75</v>
      </c>
      <c r="C25" s="25" t="n">
        <f aca="false">C12/(C12+C10)</f>
        <v>0.828271099431645</v>
      </c>
    </row>
    <row r="26" customFormat="false" ht="15" hidden="false" customHeight="true" outlineLevel="0" collapsed="false">
      <c r="B26" s="11" t="s">
        <v>76</v>
      </c>
      <c r="C26" s="25" t="n">
        <f aca="false">C10/(C12+C10)</f>
        <v>0.171728900568355</v>
      </c>
    </row>
    <row r="27" customFormat="false" ht="15" hidden="false" customHeight="true" outlineLevel="0" collapsed="false">
      <c r="B27" s="11" t="s">
        <v>77</v>
      </c>
      <c r="C27" s="13" t="n">
        <f aca="false">C25*C23+C26*C24</f>
        <v>0.069250733361853</v>
      </c>
    </row>
    <row r="28" customFormat="false" ht="15" hidden="false" customHeight="true" outlineLevel="0" collapsed="false">
      <c r="B28" s="11" t="s">
        <v>32</v>
      </c>
      <c r="C28" s="24" t="n">
        <v>0.02</v>
      </c>
      <c r="E28" s="3" t="s">
        <v>78</v>
      </c>
    </row>
    <row r="30" customFormat="false" ht="15" hidden="false" customHeight="true" outlineLevel="0" collapsed="false">
      <c r="B30" s="8" t="s">
        <v>79</v>
      </c>
      <c r="C30" s="8"/>
      <c r="D30" s="8"/>
      <c r="E30" s="8"/>
      <c r="F30" s="8"/>
    </row>
    <row r="31" customFormat="false" ht="15" hidden="false" customHeight="true" outlineLevel="0" collapsed="false">
      <c r="B31" s="8"/>
      <c r="C31" s="8"/>
      <c r="D31" s="8"/>
      <c r="E31" s="8"/>
      <c r="F31" s="8"/>
    </row>
    <row r="32" customFormat="false" ht="15" hidden="false" customHeight="true" outlineLevel="0" collapsed="false">
      <c r="B32" s="8"/>
      <c r="C32" s="8"/>
      <c r="D32" s="8"/>
      <c r="E32" s="8"/>
      <c r="F32" s="8"/>
    </row>
    <row r="33" customFormat="false" ht="15" hidden="false" customHeight="true" outlineLevel="0" collapsed="false">
      <c r="B33" s="8"/>
      <c r="C33" s="8"/>
      <c r="D33" s="8"/>
      <c r="E33" s="8"/>
      <c r="F33" s="8"/>
    </row>
    <row r="35" customFormat="false" ht="18" hidden="false" customHeight="true" outlineLevel="0" collapsed="false">
      <c r="B35" s="9" t="s">
        <v>80</v>
      </c>
      <c r="C35" s="10"/>
      <c r="D35" s="10"/>
      <c r="E35" s="10"/>
      <c r="F35" s="10"/>
      <c r="G35" s="10"/>
    </row>
    <row r="36" customFormat="false" ht="15" hidden="false" customHeight="true" outlineLevel="0" collapsed="false">
      <c r="B36" s="11" t="s">
        <v>81</v>
      </c>
      <c r="C36" s="19" t="s">
        <v>82</v>
      </c>
      <c r="D36" s="19" t="s">
        <v>83</v>
      </c>
      <c r="E36" s="19" t="s">
        <v>84</v>
      </c>
      <c r="F36" s="19" t="s">
        <v>85</v>
      </c>
      <c r="G36" s="19" t="s">
        <v>86</v>
      </c>
    </row>
    <row r="37" customFormat="false" ht="15" hidden="false" customHeight="true" outlineLevel="0" collapsed="false">
      <c r="B37" s="11" t="s">
        <v>87</v>
      </c>
      <c r="C37" s="24" t="n">
        <v>0.03</v>
      </c>
      <c r="D37" s="24" t="n">
        <v>0.035</v>
      </c>
      <c r="E37" s="24" t="n">
        <v>0.035</v>
      </c>
      <c r="F37" s="24" t="n">
        <v>0.03</v>
      </c>
      <c r="G37" s="24" t="n">
        <v>0.025</v>
      </c>
    </row>
    <row r="38" customFormat="false" ht="15" hidden="false" customHeight="true" outlineLevel="0" collapsed="false">
      <c r="B38" s="11" t="s">
        <v>88</v>
      </c>
      <c r="C38" s="24" t="n">
        <v>0.103</v>
      </c>
      <c r="D38" s="24" t="n">
        <v>0.105</v>
      </c>
      <c r="E38" s="24" t="n">
        <v>0.107</v>
      </c>
      <c r="F38" s="24" t="n">
        <v>0.11</v>
      </c>
      <c r="G38" s="24" t="n">
        <v>0.112</v>
      </c>
    </row>
    <row r="40" customFormat="false" ht="15" hidden="false" customHeight="true" outlineLevel="0" collapsed="false">
      <c r="B40" s="3" t="s">
        <v>89</v>
      </c>
    </row>
    <row r="41" customFormat="false" ht="15" hidden="false" customHeight="true" outlineLevel="0" collapsed="false">
      <c r="B41" s="3" t="s">
        <v>90</v>
      </c>
    </row>
    <row r="42" customFormat="false" ht="15" hidden="false" customHeight="true" outlineLevel="0" collapsed="false">
      <c r="B42" s="3" t="s">
        <v>91</v>
      </c>
    </row>
    <row r="43" customFormat="false" ht="15" hidden="false" customHeight="true" outlineLevel="0" collapsed="false">
      <c r="B43" s="3" t="s">
        <v>92</v>
      </c>
    </row>
  </sheetData>
  <mergeCells count="1">
    <mergeCell ref="B30:F33"/>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2" min="2" style="1" width="42"/>
    <col collapsed="false" customWidth="true" hidden="false" outlineLevel="0" max="5" min="3" style="1" width="13"/>
  </cols>
  <sheetData>
    <row r="2" customFormat="false" ht="18" hidden="false" customHeight="true" outlineLevel="0" collapsed="false">
      <c r="B2" s="2" t="s">
        <v>93</v>
      </c>
    </row>
    <row r="3" customFormat="false" ht="15" hidden="false" customHeight="true" outlineLevel="0" collapsed="false">
      <c r="B3" s="4" t="s">
        <v>2</v>
      </c>
    </row>
    <row r="5" customFormat="false" ht="18" hidden="false" customHeight="true" outlineLevel="0" collapsed="false">
      <c r="B5" s="9" t="s">
        <v>94</v>
      </c>
      <c r="C5" s="10"/>
      <c r="D5" s="10"/>
      <c r="E5" s="10"/>
      <c r="F5" s="10"/>
      <c r="G5" s="10"/>
    </row>
    <row r="6" customFormat="false" ht="15" hidden="false" customHeight="true" outlineLevel="0" collapsed="false">
      <c r="B6" s="11"/>
      <c r="C6" s="19" t="s">
        <v>95</v>
      </c>
      <c r="D6" s="19" t="s">
        <v>96</v>
      </c>
      <c r="E6" s="19" t="s">
        <v>97</v>
      </c>
    </row>
    <row r="7" customFormat="false" ht="15" hidden="false" customHeight="true" outlineLevel="0" collapsed="false">
      <c r="B7" s="11" t="s">
        <v>98</v>
      </c>
      <c r="C7" s="20" t="n">
        <v>27622</v>
      </c>
      <c r="D7" s="20" t="n">
        <v>27376</v>
      </c>
      <c r="E7" s="20" t="n">
        <v>27283</v>
      </c>
    </row>
    <row r="8" customFormat="false" ht="15" hidden="false" customHeight="true" outlineLevel="0" collapsed="false">
      <c r="B8" s="11" t="s">
        <v>99</v>
      </c>
      <c r="C8" s="20" t="n">
        <v>3351</v>
      </c>
      <c r="D8" s="20" t="n">
        <v>3514</v>
      </c>
      <c r="E8" s="20" t="n">
        <v>3665</v>
      </c>
    </row>
    <row r="9" customFormat="false" ht="15" hidden="false" customHeight="true" outlineLevel="0" collapsed="false">
      <c r="B9" s="11" t="s">
        <v>100</v>
      </c>
      <c r="C9" s="20" t="n">
        <v>2998</v>
      </c>
      <c r="D9" s="20" t="n">
        <v>2021</v>
      </c>
      <c r="E9" s="20" t="n">
        <v>1825</v>
      </c>
    </row>
    <row r="10" customFormat="false" ht="15" hidden="false" customHeight="true" outlineLevel="0" collapsed="false">
      <c r="B10" s="11" t="s">
        <v>101</v>
      </c>
      <c r="C10" s="25" t="n">
        <f aca="false">C8/C7</f>
        <v>0.121316342046195</v>
      </c>
      <c r="D10" s="25" t="n">
        <f aca="false">D8/D7</f>
        <v>0.128360607831677</v>
      </c>
      <c r="E10" s="25" t="n">
        <f aca="false">E8/E7</f>
        <v>0.134332734669941</v>
      </c>
    </row>
    <row r="13" customFormat="false" ht="18" hidden="false" customHeight="true" outlineLevel="0" collapsed="false">
      <c r="B13" s="9" t="s">
        <v>102</v>
      </c>
      <c r="C13" s="10"/>
      <c r="D13" s="10"/>
      <c r="E13" s="10"/>
      <c r="F13" s="10"/>
      <c r="G13" s="10"/>
    </row>
    <row r="14" customFormat="false" ht="15" hidden="false" customHeight="true" outlineLevel="0" collapsed="false">
      <c r="B14" s="11"/>
      <c r="C14" s="19" t="s">
        <v>95</v>
      </c>
      <c r="D14" s="19" t="s">
        <v>96</v>
      </c>
      <c r="E14" s="19" t="s">
        <v>97</v>
      </c>
    </row>
    <row r="15" customFormat="false" ht="15" hidden="false" customHeight="true" outlineLevel="0" collapsed="false">
      <c r="B15" s="11" t="s">
        <v>103</v>
      </c>
      <c r="C15" s="20" t="n">
        <v>2600</v>
      </c>
      <c r="D15" s="20" t="n">
        <v>3004</v>
      </c>
      <c r="E15" s="20" t="n">
        <v>2799</v>
      </c>
    </row>
    <row r="16" customFormat="false" ht="15" hidden="false" customHeight="true" outlineLevel="0" collapsed="false">
      <c r="B16" s="11" t="s">
        <v>104</v>
      </c>
      <c r="C16" s="25" t="n">
        <f aca="false">C15/C7</f>
        <v>0.0941278690898559</v>
      </c>
      <c r="D16" s="25" t="n">
        <f aca="false">D15/D7</f>
        <v>0.109731151373466</v>
      </c>
      <c r="E16" s="25" t="n">
        <f aca="false">E15/E7</f>
        <v>0.102591357255434</v>
      </c>
    </row>
    <row r="19" customFormat="false" ht="15" hidden="false" customHeight="true" outlineLevel="0" collapsed="false">
      <c r="B19" s="8" t="s">
        <v>105</v>
      </c>
      <c r="C19" s="8"/>
      <c r="D19" s="8"/>
      <c r="E19" s="8"/>
      <c r="F19" s="8"/>
    </row>
    <row r="20" customFormat="false" ht="15" hidden="false" customHeight="true" outlineLevel="0" collapsed="false">
      <c r="B20" s="8"/>
      <c r="C20" s="8"/>
      <c r="D20" s="8"/>
      <c r="E20" s="8"/>
      <c r="F20" s="8"/>
    </row>
    <row r="21" customFormat="false" ht="15" hidden="false" customHeight="true" outlineLevel="0" collapsed="false">
      <c r="B21" s="8"/>
      <c r="C21" s="8"/>
      <c r="D21" s="8"/>
      <c r="E21" s="8"/>
      <c r="F21" s="8"/>
    </row>
  </sheetData>
  <mergeCells count="1">
    <mergeCell ref="B19:F21"/>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2" style="1" width="48"/>
    <col collapsed="false" customWidth="true" hidden="false" outlineLevel="0" max="7" min="3" style="1" width="13"/>
  </cols>
  <sheetData>
    <row r="2" customFormat="false" ht="18" hidden="false" customHeight="true" outlineLevel="0" collapsed="false">
      <c r="B2" s="2" t="s">
        <v>106</v>
      </c>
    </row>
    <row r="3" customFormat="false" ht="15" hidden="false" customHeight="true" outlineLevel="0" collapsed="false">
      <c r="B3" s="4" t="s">
        <v>2</v>
      </c>
    </row>
    <row r="5" customFormat="false" ht="15" hidden="false" customHeight="true" outlineLevel="0" collapsed="false">
      <c r="B5" s="11"/>
      <c r="C5" s="19" t="s">
        <v>82</v>
      </c>
      <c r="D5" s="19" t="s">
        <v>83</v>
      </c>
      <c r="E5" s="19" t="s">
        <v>84</v>
      </c>
      <c r="F5" s="19" t="s">
        <v>85</v>
      </c>
      <c r="G5" s="19" t="s">
        <v>86</v>
      </c>
    </row>
    <row r="6" customFormat="false" ht="15" hidden="false" customHeight="true" outlineLevel="0" collapsed="false">
      <c r="B6" s="11" t="s">
        <v>107</v>
      </c>
      <c r="C6" s="26" t="n">
        <f aca="false">Assumptions!$C$6*(1+Assumptions!C37)</f>
        <v>28101.49</v>
      </c>
      <c r="D6" s="26" t="n">
        <f aca="false">C6*(1+Assumptions!D37)</f>
        <v>29085.04215</v>
      </c>
      <c r="E6" s="26" t="n">
        <f aca="false">D6*(1+Assumptions!E37)</f>
        <v>30103.01862525</v>
      </c>
      <c r="F6" s="26" t="n">
        <f aca="false">E6*(1+Assumptions!F37)</f>
        <v>31006.1091840075</v>
      </c>
      <c r="G6" s="26" t="n">
        <f aca="false">F6*(1+Assumptions!G37)</f>
        <v>31781.2619136077</v>
      </c>
    </row>
    <row r="7" customFormat="false" ht="15" hidden="false" customHeight="true" outlineLevel="0" collapsed="false">
      <c r="B7" s="11" t="s">
        <v>104</v>
      </c>
      <c r="C7" s="27" t="n">
        <f aca="false">Assumptions!C38</f>
        <v>0.103</v>
      </c>
      <c r="D7" s="27" t="n">
        <f aca="false">Assumptions!D38</f>
        <v>0.105</v>
      </c>
      <c r="E7" s="27" t="n">
        <f aca="false">Assumptions!E38</f>
        <v>0.107</v>
      </c>
      <c r="F7" s="27" t="n">
        <f aca="false">Assumptions!F38</f>
        <v>0.11</v>
      </c>
      <c r="G7" s="27" t="n">
        <f aca="false">Assumptions!G38</f>
        <v>0.112</v>
      </c>
    </row>
    <row r="8" customFormat="false" ht="15" hidden="false" customHeight="true" outlineLevel="0" collapsed="false">
      <c r="B8" s="11" t="s">
        <v>108</v>
      </c>
      <c r="C8" s="26" t="n">
        <f aca="false">C6*C7</f>
        <v>2894.45347</v>
      </c>
      <c r="D8" s="26" t="n">
        <f aca="false">D6*D7</f>
        <v>3053.92942575</v>
      </c>
      <c r="E8" s="26" t="n">
        <f aca="false">E6*E7</f>
        <v>3221.02299290175</v>
      </c>
      <c r="F8" s="26" t="n">
        <f aca="false">F6*F7</f>
        <v>3410.67201024083</v>
      </c>
      <c r="G8" s="26" t="n">
        <f aca="false">G6*G7</f>
        <v>3559.50133432406</v>
      </c>
    </row>
    <row r="10" customFormat="false" ht="15" hidden="false" customHeight="true" outlineLevel="0" collapsed="false">
      <c r="B10" s="11" t="s">
        <v>109</v>
      </c>
      <c r="C10" s="28" t="n">
        <f aca="false">1/(1+Assumptions!$C$27)^1</f>
        <v>0.935234336343057</v>
      </c>
      <c r="D10" s="28" t="n">
        <f aca="false">1/(1+Assumptions!$C$27)^2</f>
        <v>0.874663263875039</v>
      </c>
      <c r="E10" s="28" t="n">
        <f aca="false">1/(1+Assumptions!$C$27)^3</f>
        <v>0.818015117113825</v>
      </c>
      <c r="F10" s="28" t="n">
        <f aca="false">1/(1+Assumptions!$C$27)^4</f>
        <v>0.765035825172536</v>
      </c>
      <c r="G10" s="28" t="n">
        <f aca="false">1/(1+Assumptions!$C$27)^5</f>
        <v>0.7154877722339</v>
      </c>
    </row>
    <row r="11" customFormat="false" ht="15" hidden="false" customHeight="true" outlineLevel="0" collapsed="false">
      <c r="B11" s="11" t="s">
        <v>110</v>
      </c>
      <c r="C11" s="26" t="n">
        <f aca="false">C8*C10</f>
        <v>2706.99227009131</v>
      </c>
      <c r="D11" s="26" t="n">
        <f aca="false">D8*D10</f>
        <v>2671.15987917052</v>
      </c>
      <c r="E11" s="26" t="n">
        <f aca="false">E8*E10</f>
        <v>2634.84550076485</v>
      </c>
      <c r="F11" s="26" t="n">
        <f aca="false">F8*F10</f>
        <v>2609.28627574746</v>
      </c>
      <c r="G11" s="26" t="n">
        <f aca="false">G8*G10</f>
        <v>2546.77967995912</v>
      </c>
    </row>
    <row r="13" customFormat="false" ht="18" hidden="false" customHeight="true" outlineLevel="0" collapsed="false">
      <c r="B13" s="9" t="s">
        <v>111</v>
      </c>
      <c r="C13" s="10"/>
      <c r="D13" s="10"/>
      <c r="E13" s="10"/>
      <c r="F13" s="10"/>
      <c r="G13" s="10"/>
    </row>
    <row r="14" customFormat="false" ht="15" hidden="false" customHeight="true" outlineLevel="0" collapsed="false">
      <c r="B14" s="11" t="s">
        <v>112</v>
      </c>
      <c r="C14" s="29" t="n">
        <f aca="false">SUM(C11:G11)</f>
        <v>13169.0636057333</v>
      </c>
    </row>
    <row r="15" customFormat="false" ht="15" hidden="false" customHeight="true" outlineLevel="0" collapsed="false">
      <c r="B15" s="11" t="s">
        <v>113</v>
      </c>
      <c r="C15" s="29" t="n">
        <f aca="false">G8*(1+Assumptions!$C$28)/(Assumptions!$C$27-Assumptions!$C$28)</f>
        <v>73718.5238306052</v>
      </c>
    </row>
    <row r="16" customFormat="false" ht="15" hidden="false" customHeight="true" outlineLevel="0" collapsed="false">
      <c r="B16" s="11" t="s">
        <v>114</v>
      </c>
      <c r="C16" s="29" t="n">
        <f aca="false">C15*G10</f>
        <v>52744.7023879314</v>
      </c>
    </row>
    <row r="17" customFormat="false" ht="15" hidden="false" customHeight="true" outlineLevel="0" collapsed="false">
      <c r="B17" s="11" t="s">
        <v>29</v>
      </c>
      <c r="C17" s="14" t="n">
        <f aca="false">C14+C16</f>
        <v>65913.7659936647</v>
      </c>
    </row>
    <row r="18" customFormat="false" ht="15" hidden="false" customHeight="true" outlineLevel="0" collapsed="false">
      <c r="B18" s="11" t="s">
        <v>115</v>
      </c>
      <c r="C18" s="30" t="n">
        <f aca="false">Assumptions!C10</f>
        <v>8430</v>
      </c>
    </row>
    <row r="19" customFormat="false" ht="15" hidden="false" customHeight="true" outlineLevel="0" collapsed="false">
      <c r="B19" s="11" t="s">
        <v>116</v>
      </c>
      <c r="C19" s="14" t="n">
        <f aca="false">C17-C18</f>
        <v>57483.7659936647</v>
      </c>
    </row>
    <row r="20" customFormat="false" ht="15" hidden="false" customHeight="true" outlineLevel="0" collapsed="false">
      <c r="B20" s="11" t="s">
        <v>117</v>
      </c>
      <c r="C20" s="31" t="n">
        <f aca="false">Assumptions!C14</f>
        <v>683.344537815126</v>
      </c>
    </row>
    <row r="21" customFormat="false" ht="15" hidden="false" customHeight="true" outlineLevel="0" collapsed="false">
      <c r="B21" s="11" t="s">
        <v>118</v>
      </c>
      <c r="C21" s="12" t="n">
        <f aca="false">C19/C20</f>
        <v>84.1212050621768</v>
      </c>
    </row>
    <row r="22" customFormat="false" ht="15" hidden="false" customHeight="true" outlineLevel="0" collapsed="false">
      <c r="B22" s="11" t="s">
        <v>27</v>
      </c>
      <c r="C22" s="32" t="n">
        <f aca="false">Assumptions!C11</f>
        <v>59.5</v>
      </c>
    </row>
    <row r="23" customFormat="false" ht="15" hidden="false" customHeight="true" outlineLevel="0" collapsed="false">
      <c r="B23" s="11" t="s">
        <v>119</v>
      </c>
      <c r="C23" s="25" t="n">
        <f aca="false">C21/C22-1</f>
        <v>0.413801765750871</v>
      </c>
    </row>
    <row r="24" customFormat="false" ht="15" hidden="false" customHeight="true" outlineLevel="0" collapsed="false">
      <c r="B24" s="11" t="s">
        <v>33</v>
      </c>
      <c r="C24" s="33" t="n">
        <f aca="false">C17/Assumptions!C9</f>
        <v>15.3466277051606</v>
      </c>
    </row>
    <row r="25" customFormat="false" ht="15" hidden="false" customHeight="true" outlineLevel="0" collapsed="false">
      <c r="B25" s="11" t="s">
        <v>34</v>
      </c>
      <c r="C25" s="33" t="n">
        <f aca="false">(Assumptions!C12+Assumptions!C10)/Assumptions!C9</f>
        <v>11.4293364377183</v>
      </c>
    </row>
    <row r="27" customFormat="false" ht="15" hidden="false" customHeight="true" outlineLevel="0" collapsed="false">
      <c r="B27" s="8" t="s">
        <v>120</v>
      </c>
      <c r="C27" s="8"/>
      <c r="D27" s="8"/>
      <c r="E27" s="8"/>
      <c r="F27" s="8"/>
      <c r="G27" s="8"/>
    </row>
    <row r="28" customFormat="false" ht="15" hidden="false" customHeight="true" outlineLevel="0" collapsed="false">
      <c r="B28" s="8"/>
      <c r="C28" s="8"/>
      <c r="D28" s="8"/>
      <c r="E28" s="8"/>
      <c r="F28" s="8"/>
      <c r="G28" s="8"/>
    </row>
    <row r="29" customFormat="false" ht="15" hidden="false" customHeight="true" outlineLevel="0" collapsed="false">
      <c r="B29" s="8"/>
      <c r="C29" s="8"/>
      <c r="D29" s="8"/>
      <c r="E29" s="8"/>
      <c r="F29" s="8"/>
      <c r="G29" s="8"/>
    </row>
    <row r="30" customFormat="false" ht="15" hidden="false" customHeight="true" outlineLevel="0" collapsed="false">
      <c r="B30" s="8"/>
      <c r="C30" s="8"/>
      <c r="D30" s="8"/>
      <c r="E30" s="8"/>
      <c r="F30" s="8"/>
      <c r="G30" s="8"/>
    </row>
  </sheetData>
  <mergeCells count="1">
    <mergeCell ref="B27:G30"/>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16"/>
    <col collapsed="false" customWidth="true" hidden="false" outlineLevel="0" max="7" min="3" style="1" width="11"/>
  </cols>
  <sheetData>
    <row r="2" customFormat="false" ht="18" hidden="false" customHeight="true" outlineLevel="0" collapsed="false">
      <c r="B2" s="2" t="s">
        <v>121</v>
      </c>
    </row>
    <row r="4" customFormat="false" ht="15" hidden="false" customHeight="true" outlineLevel="0" collapsed="false">
      <c r="B4" s="19" t="s">
        <v>122</v>
      </c>
      <c r="C4" s="13" t="n">
        <v>0.015</v>
      </c>
      <c r="D4" s="13" t="n">
        <v>0.0175</v>
      </c>
      <c r="E4" s="13" t="n">
        <v>0.02</v>
      </c>
      <c r="F4" s="13" t="n">
        <v>0.0225</v>
      </c>
    </row>
    <row r="5" customFormat="false" ht="15" hidden="false" customHeight="true" outlineLevel="0" collapsed="false">
      <c r="B5" s="13" t="n">
        <v>0.055</v>
      </c>
      <c r="C5" s="34" t="n">
        <f aca="false">(SUMPRODUCT(DCF!$C$8:$G$8,1/(1+$B5)^{1,2,3,4,5})+DCF!$G$8*(1+C$4)/($B5-C$4)/(1+$B5)^5-Assumptions!$C$10)/Assumptions!$C$14</f>
        <v>108.855503428909</v>
      </c>
      <c r="D5" s="34" t="n">
        <f aca="false">(SUMPRODUCT(DCF!$C$8:$G$8,1/(1+$B5)^{1,2,3,4,5})+DCF!$G$8*(1+D$4)/($B5-D$4)/(1+$B5)^5-Assumptions!$C$10)/Assumptions!$C$14</f>
        <v>115.863410655474</v>
      </c>
      <c r="E5" s="34" t="n">
        <f aca="false">(SUMPRODUCT(DCF!$C$8:$G$8,1/(1+$B5)^{1,2,3,4,5})+DCF!$G$8*(1+E$4)/($B5-E$4)/(1+$B5)^5-Assumptions!$C$10)/Assumptions!$C$14</f>
        <v>123.872447485834</v>
      </c>
      <c r="F5" s="34" t="n">
        <f aca="false">(SUMPRODUCT(DCF!$C$8:$G$8,1/(1+$B5)^{1,2,3,4,5})+DCF!$G$8*(1+F$4)/($B5-F$4)/(1+$B5)^5-Assumptions!$C$10)/Assumptions!$C$14</f>
        <v>133.113643828557</v>
      </c>
    </row>
    <row r="6" customFormat="false" ht="15" hidden="false" customHeight="true" outlineLevel="0" collapsed="false">
      <c r="B6" s="13" t="n">
        <v>0.06</v>
      </c>
      <c r="C6" s="34" t="n">
        <f aca="false">(SUMPRODUCT(DCF!$C$8:$G$8,1/(1+$B6)^{1,2,3,4,5})+DCF!$G$8*(1+C$4)/($B6-C$4)/(1+$B6)^5-Assumptions!$C$10)/Assumptions!$C$14</f>
        <v>95.2363502572475</v>
      </c>
      <c r="D6" s="34" t="n">
        <f aca="false">(SUMPRODUCT(DCF!$C$8:$G$8,1/(1+$B6)^{1,2,3,4,5})+DCF!$G$8*(1+D$4)/($B6-D$4)/(1+$B6)^5-Assumptions!$C$10)/Assumptions!$C$14</f>
        <v>100.629773924124</v>
      </c>
      <c r="E6" s="34" t="n">
        <f aca="false">(SUMPRODUCT(DCF!$C$8:$G$8,1/(1+$B6)^{1,2,3,4,5})+DCF!$G$8*(1+E$4)/($B6-E$4)/(1+$B6)^5-Assumptions!$C$10)/Assumptions!$C$14</f>
        <v>106.69737554936</v>
      </c>
      <c r="F6" s="34" t="n">
        <f aca="false">(SUMPRODUCT(DCF!$C$8:$G$8,1/(1+$B6)^{1,2,3,4,5})+DCF!$G$8*(1+F$4)/($B6-F$4)/(1+$B6)^5-Assumptions!$C$10)/Assumptions!$C$14</f>
        <v>113.573990724627</v>
      </c>
    </row>
    <row r="7" customFormat="false" ht="15" hidden="false" customHeight="true" outlineLevel="0" collapsed="false">
      <c r="B7" s="13" t="n">
        <v>0.065</v>
      </c>
      <c r="C7" s="34" t="n">
        <f aca="false">(SUMPRODUCT(DCF!$C$8:$G$8,1/(1+$B7)^{1,2,3,4,5})+DCF!$G$8*(1+C$4)/($B7-C$4)/(1+$B7)^5-Assumptions!$C$10)/Assumptions!$C$14</f>
        <v>84.3435271321003</v>
      </c>
      <c r="D7" s="34" t="n">
        <f aca="false">(SUMPRODUCT(DCF!$C$8:$G$8,1/(1+$B7)^{1,2,3,4,5})+DCF!$G$8*(1+D$4)/($B7-D$4)/(1+$B7)^5-Assumptions!$C$10)/Assumptions!$C$14</f>
        <v>88.605664043973</v>
      </c>
      <c r="E7" s="34" t="n">
        <f aca="false">(SUMPRODUCT(DCF!$C$8:$G$8,1/(1+$B7)^{1,2,3,4,5})+DCF!$G$8*(1+E$4)/($B7-E$4)/(1+$B7)^5-Assumptions!$C$10)/Assumptions!$C$14</f>
        <v>93.3413717238315</v>
      </c>
      <c r="F7" s="34" t="n">
        <f aca="false">(SUMPRODUCT(DCF!$C$8:$G$8,1/(1+$B7)^{1,2,3,4,5})+DCF!$G$8*(1+F$4)/($B7-F$4)/(1+$B7)^5-Assumptions!$C$10)/Assumptions!$C$14</f>
        <v>98.6342214836734</v>
      </c>
    </row>
    <row r="8" customFormat="false" ht="15" hidden="false" customHeight="true" outlineLevel="0" collapsed="false">
      <c r="B8" s="13" t="n">
        <v>0.069</v>
      </c>
      <c r="C8" s="35" t="n">
        <f aca="false">(SUMPRODUCT(DCF!$C$8:$G$8,1/(1+$B8)^{1,2,3,4,5})+DCF!$G$8*(1+C$4)/($B8-C$4)/(1+$B8)^5-Assumptions!$C$10)/Assumptions!$C$14</f>
        <v>77.083274256357</v>
      </c>
      <c r="D8" s="35" t="n">
        <f aca="false">(SUMPRODUCT(DCF!$C$8:$G$8,1/(1+$B8)^{1,2,3,4,5})+DCF!$G$8*(1+D$4)/($B8-D$4)/(1+$B8)^5-Assumptions!$C$10)/Assumptions!$C$14</f>
        <v>80.669004644268</v>
      </c>
      <c r="E8" s="35" t="n">
        <f aca="false">(SUMPRODUCT(DCF!$C$8:$G$8,1/(1+$B8)^{1,2,3,4,5})+DCF!$G$8*(1+E$4)/($B8-E$4)/(1+$B8)^5-Assumptions!$C$10)/Assumptions!$C$14</f>
        <v>84.6206258880882</v>
      </c>
      <c r="F8" s="35" t="n">
        <f aca="false">(SUMPRODUCT(DCF!$C$8:$G$8,1/(1+$B8)^{1,2,3,4,5})+DCF!$G$8*(1+F$4)/($B8-F$4)/(1+$B8)^5-Assumptions!$C$10)/Assumptions!$C$14</f>
        <v>88.9971526419966</v>
      </c>
    </row>
    <row r="9" customFormat="false" ht="15" hidden="false" customHeight="true" outlineLevel="0" collapsed="false">
      <c r="B9" s="13" t="n">
        <v>0.07</v>
      </c>
      <c r="C9" s="34" t="n">
        <f aca="false">(SUMPRODUCT(DCF!$C$8:$G$8,1/(1+$B9)^{1,2,3,4,5})+DCF!$G$8*(1+C$4)/($B9-C$4)/(1+$B9)^5-Assumptions!$C$10)/Assumptions!$C$14</f>
        <v>75.4334354179424</v>
      </c>
      <c r="D9" s="34" t="n">
        <f aca="false">(SUMPRODUCT(DCF!$C$8:$G$8,1/(1+$B9)^{1,2,3,4,5})+DCF!$G$8*(1+D$4)/($B9-D$4)/(1+$B9)^5-Assumptions!$C$10)/Assumptions!$C$14</f>
        <v>78.874020783809</v>
      </c>
      <c r="E9" s="34" t="n">
        <f aca="false">(SUMPRODUCT(DCF!$C$8:$G$8,1/(1+$B9)^{1,2,3,4,5})+DCF!$G$8*(1+E$4)/($B9-E$4)/(1+$B9)^5-Assumptions!$C$10)/Assumptions!$C$14</f>
        <v>82.6586646862623</v>
      </c>
      <c r="F9" s="34" t="n">
        <f aca="false">(SUMPRODUCT(DCF!$C$8:$G$8,1/(1+$B9)^{1,2,3,4,5})+DCF!$G$8*(1+F$4)/($B9-F$4)/(1+$B9)^5-Assumptions!$C$10)/Assumptions!$C$14</f>
        <v>86.8416921573949</v>
      </c>
    </row>
    <row r="10" customFormat="false" ht="15" hidden="false" customHeight="true" outlineLevel="0" collapsed="false">
      <c r="B10" s="13" t="n">
        <v>0.075</v>
      </c>
      <c r="C10" s="34" t="n">
        <f aca="false">(SUMPRODUCT(DCF!$C$8:$G$8,1/(1+$B10)^{1,2,3,4,5})+DCF!$G$8*(1+C$4)/($B10-C$4)/(1+$B10)^5-Assumptions!$C$10)/Assumptions!$C$14</f>
        <v>68.0103441292256</v>
      </c>
      <c r="D10" s="34" t="n">
        <f aca="false">(SUMPRODUCT(DCF!$C$8:$G$8,1/(1+$B10)^{1,2,3,4,5})+DCF!$G$8*(1+D$4)/($B10-D$4)/(1+$B10)^5-Assumptions!$C$10)/Assumptions!$C$14</f>
        <v>70.8367627742669</v>
      </c>
      <c r="E10" s="34" t="n">
        <f aca="false">(SUMPRODUCT(DCF!$C$8:$G$8,1/(1+$B10)^{1,2,3,4,5})+DCF!$G$8*(1+E$4)/($B10-E$4)/(1+$B10)^5-Assumptions!$C$10)/Assumptions!$C$14</f>
        <v>73.9201285688575</v>
      </c>
      <c r="F10" s="34" t="n">
        <f aca="false">(SUMPRODUCT(DCF!$C$8:$G$8,1/(1+$B10)^{1,2,3,4,5})+DCF!$G$8*(1+F$4)/($B10-F$4)/(1+$B10)^5-Assumptions!$C$10)/Assumptions!$C$14</f>
        <v>77.2971482486471</v>
      </c>
    </row>
    <row r="11" customFormat="false" ht="15" hidden="false" customHeight="true" outlineLevel="0" collapsed="false">
      <c r="B11" s="13" t="n">
        <v>0.08</v>
      </c>
      <c r="C11" s="34" t="n">
        <f aca="false">(SUMPRODUCT(DCF!$C$8:$G$8,1/(1+$B11)^{1,2,3,4,5})+DCF!$G$8*(1+C$4)/($B11-C$4)/(1+$B11)^5-Assumptions!$C$10)/Assumptions!$C$14</f>
        <v>61.7310561737698</v>
      </c>
      <c r="D11" s="34" t="n">
        <f aca="false">(SUMPRODUCT(DCF!$C$8:$G$8,1/(1+$B11)^{1,2,3,4,5})+DCF!$G$8*(1+D$4)/($B11-D$4)/(1+$B11)^5-Assumptions!$C$10)/Assumptions!$C$14</f>
        <v>64.0871959197157</v>
      </c>
      <c r="E11" s="34" t="n">
        <f aca="false">(SUMPRODUCT(DCF!$C$8:$G$8,1/(1+$B11)^{1,2,3,4,5})+DCF!$G$8*(1+E$4)/($B11-E$4)/(1+$B11)^5-Assumptions!$C$10)/Assumptions!$C$14</f>
        <v>66.6396806444904</v>
      </c>
      <c r="F11" s="34" t="n">
        <f aca="false">(SUMPRODUCT(DCF!$C$8:$G$8,1/(1+$B11)^{1,2,3,4,5})+DCF!$G$8*(1+F$4)/($B11-F$4)/(1+$B11)^5-Assumptions!$C$10)/Assumptions!$C$14</f>
        <v>69.4141205627237</v>
      </c>
    </row>
    <row r="14" customFormat="false" ht="15" hidden="false" customHeight="true" outlineLevel="0" collapsed="false">
      <c r="B14" s="8" t="s">
        <v>123</v>
      </c>
      <c r="C14" s="8"/>
      <c r="D14" s="8"/>
      <c r="E14" s="8"/>
      <c r="F14" s="8"/>
      <c r="G14" s="8"/>
    </row>
    <row r="15" customFormat="false" ht="15" hidden="false" customHeight="true" outlineLevel="0" collapsed="false">
      <c r="B15" s="8"/>
      <c r="C15" s="8"/>
      <c r="D15" s="8"/>
      <c r="E15" s="8"/>
      <c r="F15" s="8"/>
      <c r="G15" s="8"/>
    </row>
    <row r="16" customFormat="false" ht="15" hidden="false" customHeight="true" outlineLevel="0" collapsed="false">
      <c r="B16" s="8"/>
      <c r="C16" s="8"/>
      <c r="D16" s="8"/>
      <c r="E16" s="8"/>
      <c r="F16" s="8"/>
      <c r="G16" s="8"/>
    </row>
  </sheetData>
  <mergeCells count="1">
    <mergeCell ref="B14:G16"/>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56"/>
    <col collapsed="false" customWidth="true" hidden="false" outlineLevel="0" max="4" min="4" style="1" width="16"/>
  </cols>
  <sheetData>
    <row r="2" customFormat="false" ht="18" hidden="false" customHeight="true" outlineLevel="0" collapsed="false">
      <c r="B2" s="2" t="s">
        <v>15</v>
      </c>
    </row>
    <row r="5" customFormat="false" ht="15" hidden="false" customHeight="true" outlineLevel="0" collapsed="false">
      <c r="B5" s="19" t="s">
        <v>124</v>
      </c>
      <c r="D5" s="19" t="s">
        <v>125</v>
      </c>
    </row>
    <row r="6" customFormat="false" ht="27.75" hidden="false" customHeight="true" outlineLevel="0" collapsed="false">
      <c r="B6" s="36" t="s">
        <v>126</v>
      </c>
      <c r="D6" s="19" t="str">
        <f aca="false">IF(Assumptions!C28&lt;Assumptions!C27,"OK","A VERIFIER")</f>
        <v>OK</v>
      </c>
    </row>
    <row r="7" customFormat="false" ht="27.75" hidden="false" customHeight="true" outlineLevel="0" collapsed="false">
      <c r="B7" s="36" t="s">
        <v>127</v>
      </c>
      <c r="D7" s="19" t="str">
        <f aca="false">IF(ROUND(Assumptions!C25+Assumptions!C26,4)=1,"OK","A VERIFIER")</f>
        <v>OK</v>
      </c>
    </row>
    <row r="8" customFormat="false" ht="27.75" hidden="false" customHeight="true" outlineLevel="0" collapsed="false">
      <c r="B8" s="36" t="s">
        <v>128</v>
      </c>
      <c r="D8" s="19" t="str">
        <f aca="false">IF(MIN(Assumptions!C38:G38)&gt;0,"OK","A VERIFIER")</f>
        <v>OK</v>
      </c>
    </row>
    <row r="9" customFormat="false" ht="27.75" hidden="false" customHeight="true" outlineLevel="0" collapsed="false">
      <c r="B9" s="36" t="s">
        <v>129</v>
      </c>
      <c r="D9" s="19" t="str">
        <f aca="false">IF(ROUND(DCF!C14+DCF!C16-DCF!C17,1)=0,"OK","A VERIFIER")</f>
        <v>OK</v>
      </c>
    </row>
    <row r="10" customFormat="false" ht="27.75" hidden="false" customHeight="true" outlineLevel="0" collapsed="false">
      <c r="B10" s="36" t="s">
        <v>130</v>
      </c>
      <c r="D10" s="19" t="str">
        <f aca="false">IF(ABS(Assumptions!C14*Assumptions!C11/Assumptions!C12-1)&lt;0.01,"OK","A VERIFIER")</f>
        <v>OK</v>
      </c>
    </row>
    <row r="11" customFormat="false" ht="27.75" hidden="false" customHeight="true" outlineLevel="0" collapsed="false">
      <c r="B11" s="36" t="s">
        <v>131</v>
      </c>
      <c r="D11" s="19" t="str">
        <f aca="false">IF(DCF!C19&gt;0,"OK","A VERIFIER")</f>
        <v>OK</v>
      </c>
    </row>
    <row r="25" customFormat="false" ht="15" hidden="false" customHeight="true" outlineLevel="0" collapsed="false">
      <c r="B25" s="19" t="s">
        <v>132</v>
      </c>
      <c r="C25" s="19" t="str">
        <f aca="false">IF(COUNTIF(D6:D11,"OK")=6,"Tous les contrôles sont OK","Au moins un contrôle à vérifier")</f>
        <v>Tous les contrôles sont OK</v>
      </c>
    </row>
    <row r="28" customFormat="false" ht="15" hidden="false" customHeight="true" outlineLevel="0" collapsed="false">
      <c r="B28" s="8" t="s">
        <v>133</v>
      </c>
      <c r="C28" s="8"/>
      <c r="D28" s="8"/>
      <c r="E28" s="8"/>
    </row>
    <row r="29" customFormat="false" ht="15" hidden="false" customHeight="true" outlineLevel="0" collapsed="false">
      <c r="B29" s="8"/>
      <c r="C29" s="8"/>
      <c r="D29" s="8"/>
      <c r="E29" s="8"/>
    </row>
    <row r="30" customFormat="false" ht="15" hidden="false" customHeight="true" outlineLevel="0" collapsed="false">
      <c r="B30" s="8"/>
      <c r="C30" s="8"/>
      <c r="D30" s="8"/>
      <c r="E30" s="8"/>
    </row>
  </sheetData>
  <mergeCells count="1">
    <mergeCell ref="B28:E30"/>
  </mergeCells>
  <conditionalFormatting sqref="D6:D11">
    <cfRule type="expression" priority="2" aboveAverage="0" equalAverage="0" bottom="0" percent="0" rank="0" text="" dxfId="0">
      <formula>D6="OK"</formula>
    </cfRule>
    <cfRule type="expression" priority="3" aboveAverage="0" equalAverage="0" bottom="0" percent="0" rank="0" text="" dxfId="1">
      <formula>D6&lt;&gt;"OK"</formula>
    </cfRule>
  </conditionalFormatting>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2026-10-12T16:40:24Z</dcterms:created>
  <dc:creator>openpyxl</dc:creator>
  <dc:description/>
  <dc:language>en-US</dc:language>
  <cp:lastModifiedBy/>
  <dcterms:modified xsi:type="dcterms:W3CDTF">2026-10-13T11:32:55Z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