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_rels/drawing1.xml.rels" ContentType="application/vnd.openxmlformats-package.relationships+xml"/>
  <Override PartName="/xl/drawings/vmlDrawing1.vml" ContentType="application/vnd.openxmlformats-officedocument.vmlDrawing"/>
  <Override PartName="/xl/drawings/drawing1.xml" ContentType="application/vnd.openxmlformats-officedocument.drawing+xml"/>
  <Override PartName="/xl/drawings/vmlDrawing2.vml" ContentType="application/vnd.openxmlformats-officedocument.vmlDrawing"/>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Assumptions" sheetId="2" state="visible" r:id="rId4"/>
    <sheet name="DCF" sheetId="3" state="visible" r:id="rId5"/>
    <sheet name="Sensitivity" sheetId="4" state="visible" r:id="rId6"/>
    <sheet name="Comps" sheetId="5" state="visible" r:id="rId7"/>
    <sheet name="Checks" sheetId="6" state="visible" r:id="rId8"/>
  </sheets>
  <definedNames>
    <definedName function="false" hidden="false" localSheetId="1" name="_xlnm.Print_Area" vbProcedure="false">Assumptions!$A$1:$G$30</definedName>
    <definedName function="false" hidden="false" localSheetId="5" name="_xlnm.Print_Area" vbProcedure="false">Checks!$A$1:$E$17</definedName>
    <definedName function="false" hidden="false" localSheetId="4" name="_xlnm.Print_Area" vbProcedure="false">Comps!$A$1:$F$12</definedName>
    <definedName function="false" hidden="false" localSheetId="0" name="_xlnm.Print_Area" vbProcedure="false">Cover!$A$1:$K$16</definedName>
    <definedName function="false" hidden="false" localSheetId="2" name="_xlnm.Print_Area" vbProcedure="false">DCF!$A$1:$S$41</definedName>
    <definedName function="false" hidden="false" localSheetId="3" name="_xlnm.Print_Area" vbProcedure="false">Sensitivity!$A$1:$F$14</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E23" authorId="0">
      <text>
        <r>
          <rPr>
            <sz val="10"/>
            <rFont val="Arial"/>
            <family val="2"/>
          </rPr>
          <t xml:space="preserve">WACC fixé en valeur unique (hypothèse personnelle), faute de données fiables à cette maille (bêta coté, dette nette consolidée, spread souverain Sénégal sur émission internationale) pour construire un CAPM complet comparable à celui de Danone. Le niveau retenu, supérieur à un WACC de marché développé, est cohérent avec le cadre théorique proposé pour les marchés émergents (taux obligataire de référence + spread souverain + bêta sectoriel x prime de risque actions), décrit par Vernimmen (Corporate Finance, chapitre sur le coût du capital en marché émergent).</t>
        </r>
      </text>
    </comment>
  </commentList>
</comments>
</file>

<file path=xl/comments3.xml><?xml version="1.0" encoding="utf-8"?>
<comments xmlns="http://schemas.openxmlformats.org/spreadsheetml/2006/main" xmlns:xdr="http://schemas.openxmlformats.org/drawingml/2006/spreadsheetDrawing">
  <authors>
    <author>Unknown Author</author>
  </authors>
  <commentList>
    <comment ref="B10" authorId="0">
      <text>
        <r>
          <rPr>
            <sz val="10"/>
            <rFont val="Arial"/>
            <family val="2"/>
          </rPr>
          <t xml:space="preserve">Convention mid-year : les flux sont supposés perçus en moyenne au milieu de chaque exercice (période n-0,5), plutôt qu'en toute fin d'année. Convention standard en modélisation DCF (guide BIWS, Breaking Into Wall Street). La valeur terminale (Gordon growth) est actualisée avec le même facteur que le dernier flux explicite (année 5), sans ajout supplémentaire de 0,5, conformément à cette méthode.</t>
        </r>
      </text>
    </comment>
    <comment ref="B33" authorId="0">
      <text>
        <r>
          <rPr>
            <sz val="10"/>
            <rFont val="Arial"/>
            <family val="2"/>
          </rPr>
          <t xml:space="preserve">Hypothèse : maintenue constante jusqu'en 2030, cf. onglet Assumptions.</t>
        </r>
      </text>
    </comment>
    <comment ref="B35" authorId="0">
      <text>
        <r>
          <rPr>
            <sz val="10"/>
            <rFont val="Arial"/>
            <family val="2"/>
          </rPr>
          <t xml:space="preserve">Multiple de sortie implicite = valeur terminale / EBITDAaL implicite de l'année 5 (2030).</t>
        </r>
      </text>
    </comment>
    <comment ref="B36" authorId="0">
      <text>
        <r>
          <rPr>
            <sz val="10"/>
            <rFont val="Arial"/>
            <family val="2"/>
          </rPr>
          <t xml:space="preserve">Multiple de référence : comparable coté Maroc Telecom, cf. onglet Comps.</t>
        </r>
      </text>
    </comment>
  </commentList>
</comments>
</file>

<file path=xl/sharedStrings.xml><?xml version="1.0" encoding="utf-8"?>
<sst xmlns="http://schemas.openxmlformats.org/spreadsheetml/2006/main" count="93" uniqueCount="92">
  <si>
    <t xml:space="preserve">Groupe Sonatel (BRVM : SNTS) - Modèle DCF et comparables</t>
  </si>
  <si>
    <t xml:space="preserve">Exercice personnel de valorisation - Yvann Ahoure</t>
  </si>
  <si>
    <t xml:space="preserve">Sommaire</t>
  </si>
  <si>
    <t xml:space="preserve">1. Assumptions</t>
  </si>
  <si>
    <t xml:space="preserve">2. DCF</t>
  </si>
  <si>
    <t xml:space="preserve">3. Sensitivity</t>
  </si>
  <si>
    <t xml:space="preserve">4. Comps</t>
  </si>
  <si>
    <t xml:space="preserve">5. Checks</t>
  </si>
  <si>
    <t xml:space="preserve">Avertissement</t>
  </si>
  <si>
    <t xml:space="preserve">Exercice personnel réalisé à partir de données publiques (sources citées dans l'onglet Assumptions), à but de démonstration méthodologique. Ne constitue pas une recommandation d'investissement. Le free cash-flow 2025 est utilisé comme proxy simplifié du FCFF ; la dette nette n'est pas disponible publiquement à cette maille et n'est donc pas déduite de la valeur d'entreprise.</t>
  </si>
  <si>
    <t xml:space="preserve">Assumptions - Groupe Sonatel</t>
  </si>
  <si>
    <t xml:space="preserve">Toutes les valeurs en Md FCFA sauf mention contraire</t>
  </si>
  <si>
    <t xml:space="preserve">Données de départ (FY2025, réel)</t>
  </si>
  <si>
    <t xml:space="preserve">Chiffre d'affaires 2025</t>
  </si>
  <si>
    <t xml:space="preserve">EBITDAaL 2025</t>
  </si>
  <si>
    <t xml:space="preserve">Free cash-flow 2025 (proxy FCFF)</t>
  </si>
  <si>
    <t xml:space="preserve">Nombre d'actions (millions)</t>
  </si>
  <si>
    <t xml:space="preserve">Capitalisation boursière (Md FCFA)</t>
  </si>
  <si>
    <t xml:space="preserve">Ratios dérivés</t>
  </si>
  <si>
    <t xml:space="preserve">Marge d'EBITDAaL 2025</t>
  </si>
  <si>
    <t xml:space="preserve">Marge de FCF 2025</t>
  </si>
  <si>
    <t xml:space="preserve">Cours de marché implicite (FCFA/action)</t>
  </si>
  <si>
    <t xml:space="preserve">Hypothèses de projection 2026-2030</t>
  </si>
  <si>
    <t xml:space="preserve">Croissance du chiffre d'affaires</t>
  </si>
  <si>
    <t xml:space="preserve">Marge de FCF (% du CA, maintenue constante)</t>
  </si>
  <si>
    <t xml:space="preserve">WACC et croissance terminale</t>
  </si>
  <si>
    <t xml:space="preserve">WACC retenu</t>
  </si>
  <si>
    <t xml:space="preserve">Croissance terminale (g)</t>
  </si>
  <si>
    <t xml:space="preserve">Sources</t>
  </si>
  <si>
    <t xml:space="preserve">- CA, EBITDAaL, FCF 2025 : communiqué Sonatel "Résultats consolidés au 31 décembre 2025" (sonatel.sn)</t>
  </si>
  <si>
    <t xml:space="preserve">- Capitalisation, nombre d'actions : Sikafinance, fiche société SNTS.sn</t>
  </si>
  <si>
    <t xml:space="preserve">- Comparable Maroc Telecom (EV/EBITDA) : Multiples.vc, 12 octobre 2026</t>
  </si>
  <si>
    <t xml:space="preserve">- Hypothèses de croissance 2026-2030, WACC et g terminale : estimations personnelles (non sourcées, posées pour l'exercice)</t>
  </si>
  <si>
    <t xml:space="preserve">DCF - Groupe Sonatel</t>
  </si>
  <si>
    <t xml:space="preserve">Md FCFA sauf mention contraire</t>
  </si>
  <si>
    <t xml:space="preserve">2026</t>
  </si>
  <si>
    <t xml:space="preserve">2027</t>
  </si>
  <si>
    <t xml:space="preserve">2028</t>
  </si>
  <si>
    <t xml:space="preserve">2029</t>
  </si>
  <si>
    <t xml:space="preserve">2030</t>
  </si>
  <si>
    <t xml:space="preserve">Croissance du CA</t>
  </si>
  <si>
    <t xml:space="preserve">Chiffre d'affaires</t>
  </si>
  <si>
    <t xml:space="preserve">Marge de FCF</t>
  </si>
  <si>
    <t xml:space="preserve">Free cash-flow (FCFF proxy)</t>
  </si>
  <si>
    <t xml:space="preserve">Période d'actualisation (n, convention mid-year)</t>
  </si>
  <si>
    <t xml:space="preserve">Facteur d'actualisation</t>
  </si>
  <si>
    <t xml:space="preserve">VA des flux explicites</t>
  </si>
  <si>
    <t xml:space="preserve">Somme des VA des flux explicites (2026-2030)</t>
  </si>
  <si>
    <t xml:space="preserve">Valeur terminale (Gordon Growth, fin 2030)</t>
  </si>
  <si>
    <t xml:space="preserve">VA de la valeur terminale</t>
  </si>
  <si>
    <t xml:space="preserve">Valeur d'entreprise implicite (EV)</t>
  </si>
  <si>
    <t xml:space="preserve">Part de la valeur terminale dans l'EV</t>
  </si>
  <si>
    <t xml:space="preserve">VE implicite (DCF)</t>
  </si>
  <si>
    <t xml:space="preserve">Cours de marché</t>
  </si>
  <si>
    <t xml:space="preserve">VE implicite par action (FCFA)</t>
  </si>
  <si>
    <t xml:space="preserve">Cours de marché, pour mémoire (FCFA)</t>
  </si>
  <si>
    <t xml:space="preserve">Lecture : la dette nette de Sonatel n'est pas publiée à une maille fiable (voir Assumptions/Cover). Les deux lignes ci-dessus comparent donc une VE implicite du DCF à un cours de marché (capitalisation), et non une valeur des fonds propres à une valeur des fonds propres : aucune conclusion de potentiel de hausse ou de baisse n'en est tirée.</t>
  </si>
  <si>
    <t xml:space="preserve">RECOUPEMENT DE LA VALEUR TERMINALE (MULTIPLE DE SORTIE)</t>
  </si>
  <si>
    <t xml:space="preserve">Marge d'EBITDAaL (hypothèse de projection)</t>
  </si>
  <si>
    <t xml:space="preserve">EBITDAaL implicite, année 5 (2030, Md FCFA)</t>
  </si>
  <si>
    <t xml:space="preserve">Multiple de sortie implicite (VT / EBITDAaL an 5)</t>
  </si>
  <si>
    <t xml:space="preserve">Comparable Maroc Telecom (pour mémoire)</t>
  </si>
  <si>
    <t xml:space="preserve">Lecture : ce recoupement applique la méthode des multiples de sortie en complément de la méthode Gordon growth (cf. guide BIWS, Key Rule #4) : on reconvertit la valeur terminale obtenue par Gordon growth en un multiple implicite VE/EBITDAaL à l'année 5, à comparer avec le comparable régional déjà retenu (onglet Comps, Maroc Telecom). La marge d'EBITDAaL à l'année 5 reprend l'hypothèse de marge constante déjà utilisée pour le free cash-flow dans l'onglet Assumptions.</t>
  </si>
  <si>
    <t xml:space="preserve">Sensibilité - VE implicite par action (FCFA, indicatif)</t>
  </si>
  <si>
    <t xml:space="preserve">Variation du WACC et de la croissance terminale (g)</t>
  </si>
  <si>
    <t xml:space="preserve">WACC \ g</t>
  </si>
  <si>
    <t xml:space="preserve">Lecture : la case en surbrillance correspond au scénario central (WACC 11,0 % / g 3,0 %) utilisé dans l'onglet DCF. Valeurs en VE par action (pas de dette nette disponible pour un pont vers les fonds propres).</t>
  </si>
  <si>
    <t xml:space="preserve">Comparables boursiers - Télécoms</t>
  </si>
  <si>
    <t xml:space="preserve">Multiples EV/EBITDA - recoupement avec le DCF</t>
  </si>
  <si>
    <t xml:space="preserve">Société</t>
  </si>
  <si>
    <t xml:space="preserve">Place de cotation</t>
  </si>
  <si>
    <t xml:space="preserve">EV/EBITDA (FY)</t>
  </si>
  <si>
    <t xml:space="preserve">Source</t>
  </si>
  <si>
    <t xml:space="preserve">Groupe Sonatel (implicite marché)</t>
  </si>
  <si>
    <t xml:space="preserve">BRVM (SNTS)</t>
  </si>
  <si>
    <t xml:space="preserve">Capitalisation / EBITDAaL 2025 (proxy EV, dette nette non disponible)</t>
  </si>
  <si>
    <t xml:space="preserve">Maroc Telecom</t>
  </si>
  <si>
    <t xml:space="preserve">Euronext / BVC</t>
  </si>
  <si>
    <t xml:space="preserve">Multiples.vc, dernier exercice (FY), 12 octobre 2026</t>
  </si>
  <si>
    <t xml:space="preserve">Lecture</t>
  </si>
  <si>
    <t xml:space="preserve">Le multiple implicite de marché sur Sonatel est proche de celui de Maroc Telecom, ce qui suggère une valorisation de marché cohérente avec les comparables régionaux, même si le DCF (onglet DCF) ressort au-dessus du cours actuel sous les hypothèses retenues.</t>
  </si>
  <si>
    <t xml:space="preserve">Contrôles de cohérence - Sonatel</t>
  </si>
  <si>
    <t xml:space="preserve">Contrôle</t>
  </si>
  <si>
    <t xml:space="preserve">Résultat</t>
  </si>
  <si>
    <t xml:space="preserve">Croissance terminale (g) &lt; WACC (sinon valeur terminale indéfinie)</t>
  </si>
  <si>
    <t xml:space="preserve">Toutes les marges de FCF projetées sont strictement positives</t>
  </si>
  <si>
    <t xml:space="preserve">EV recalculée (somme VA flux + VA valeur terminale) = DCF!C19</t>
  </si>
  <si>
    <t xml:space="preserve">Cours implicite de marché cohérent (capitalisation × 1000 / actions = Assumptions!E15)</t>
  </si>
  <si>
    <t xml:space="preserve">Valeur d'entreprise implicite positive</t>
  </si>
  <si>
    <t xml:space="preserve">Synthèse</t>
  </si>
  <si>
    <t xml:space="preserve">Multiple de sortie implicite (VT) du même ordre de grandeur que le comparable régional</t>
  </si>
  <si>
    <t xml:space="preserve">Note : ces contrôles vérifient la cohérence interne du modèle (pas d'erreur de construction), pas la justesse des hypothèses elles-mêmes.</t>
  </si>
</sst>
</file>

<file path=xl/styles.xml><?xml version="1.0" encoding="utf-8"?>
<styleSheet xmlns="http://schemas.openxmlformats.org/spreadsheetml/2006/main">
  <numFmts count="10">
    <numFmt numFmtId="164" formatCode="General"/>
    <numFmt numFmtId="165" formatCode="#,##0.0;\(#,##0.0\);\-"/>
    <numFmt numFmtId="166" formatCode="#,##0;\(#,##0\);\-"/>
    <numFmt numFmtId="167" formatCode="0.0%;\(0.0%\);\-"/>
    <numFmt numFmtId="168" formatCode="0"/>
    <numFmt numFmtId="169" formatCode="0.0"/>
    <numFmt numFmtId="170" formatCode="0.000"/>
    <numFmt numFmtId="171" formatCode="#,##0&quot; FCFA&quot;"/>
    <numFmt numFmtId="172" formatCode="0.00\x;\(0.00&quot;x)&quot;;\-"/>
    <numFmt numFmtId="173" formatCode="#,##0"/>
  </numFmts>
  <fonts count="20">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10"/>
      <color rgb="FF666666"/>
      <name val="Arial"/>
      <family val="0"/>
      <charset val="1"/>
    </font>
    <font>
      <b val="true"/>
      <sz val="10"/>
      <name val="Arial"/>
      <family val="0"/>
      <charset val="1"/>
    </font>
    <font>
      <sz val="11"/>
      <color theme="1"/>
      <name val="Arial"/>
      <family val="0"/>
      <charset val="1"/>
    </font>
    <font>
      <sz val="10"/>
      <color rgb="FF0000FF"/>
      <name val="Arial"/>
      <family val="0"/>
      <charset val="1"/>
    </font>
    <font>
      <sz val="9"/>
      <color rgb="FF666666"/>
      <name val="Arial"/>
      <family val="0"/>
      <charset val="1"/>
    </font>
    <font>
      <sz val="10"/>
      <name val="Arial"/>
      <family val="2"/>
    </font>
    <font>
      <b val="true"/>
      <sz val="10"/>
      <color rgb="FFFFFFFF"/>
      <name val="Arial"/>
      <family val="0"/>
      <charset val="1"/>
    </font>
    <font>
      <i val="true"/>
      <sz val="9"/>
      <color rgb="FF7F7F7F"/>
      <name val="Arial"/>
      <family val="0"/>
      <charset val="1"/>
    </font>
    <font>
      <b val="true"/>
      <sz val="12"/>
      <color rgb="FF0F6B5C"/>
      <name val="Arial"/>
      <family val="0"/>
      <charset val="1"/>
    </font>
    <font>
      <i val="true"/>
      <sz val="8"/>
      <color rgb="FF7F7F7F"/>
      <name val="Arial"/>
      <family val="0"/>
      <charset val="1"/>
    </font>
    <font>
      <b val="true"/>
      <sz val="18"/>
      <color rgb="FF000000"/>
      <name val="Calibri"/>
      <family val="2"/>
    </font>
    <font>
      <sz val="10"/>
      <color rgb="FF000000"/>
      <name val="Calibri"/>
      <family val="2"/>
    </font>
    <font>
      <b val="true"/>
      <sz val="10"/>
      <color rgb="FF000000"/>
      <name val="Calibri"/>
      <family val="2"/>
    </font>
    <font>
      <b val="true"/>
      <sz val="10"/>
      <color rgb="FF0F6B5C"/>
      <name val="Arial"/>
      <family val="0"/>
      <charset val="1"/>
    </font>
    <font>
      <b val="true"/>
      <sz val="15"/>
      <color rgb="FF1F3864"/>
      <name val="Arial"/>
      <family val="0"/>
      <charset val="1"/>
    </font>
  </fonts>
  <fills count="4">
    <fill>
      <patternFill patternType="none"/>
    </fill>
    <fill>
      <patternFill patternType="gray125"/>
    </fill>
    <fill>
      <patternFill patternType="solid">
        <fgColor rgb="FFFFFF00"/>
        <bgColor rgb="FFFFFF00"/>
      </patternFill>
    </fill>
    <fill>
      <patternFill patternType="solid">
        <fgColor rgb="FF1F3864"/>
        <bgColor rgb="FF333333"/>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true" applyAlignment="true" applyProtection="true">
      <alignment horizontal="general" vertical="top" textRotation="0" wrapText="true" indent="0" shrinkToFit="false"/>
      <protection locked="true" hidden="false"/>
    </xf>
    <xf numFmtId="165" fontId="8" fillId="2" borderId="0" xfId="0" applyFont="true" applyBorder="false" applyAlignment="true" applyProtection="true">
      <alignment horizontal="general" vertical="bottom" textRotation="0" wrapText="false" indent="0" shrinkToFit="false"/>
      <protection locked="true" hidden="false"/>
    </xf>
    <xf numFmtId="166" fontId="8" fillId="2" borderId="0" xfId="0" applyFont="true" applyBorder="false" applyAlignment="true" applyProtection="true">
      <alignment horizontal="general" vertical="bottom" textRotation="0" wrapText="false" indent="0" shrinkToFit="false"/>
      <protection locked="true" hidden="false"/>
    </xf>
    <xf numFmtId="167" fontId="7" fillId="0" borderId="0" xfId="0" applyFont="true" applyBorder="false" applyAlignment="true" applyProtection="true">
      <alignment horizontal="general" vertical="bottom" textRotation="0" wrapText="false" indent="0" shrinkToFit="false"/>
      <protection locked="true" hidden="false"/>
    </xf>
    <xf numFmtId="166" fontId="7" fillId="0" borderId="0" xfId="0" applyFont="true" applyBorder="false" applyAlignment="true" applyProtection="true">
      <alignment horizontal="general" vertical="bottom" textRotation="0" wrapText="false" indent="0" shrinkToFit="false"/>
      <protection locked="true" hidden="false"/>
    </xf>
    <xf numFmtId="168" fontId="6" fillId="0" borderId="0" xfId="0" applyFont="true" applyBorder="false" applyAlignment="true" applyProtection="true">
      <alignment horizontal="general" vertical="bottom" textRotation="0" wrapText="false" indent="0" shrinkToFit="false"/>
      <protection locked="true" hidden="false"/>
    </xf>
    <xf numFmtId="167" fontId="8" fillId="2"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4" fontId="11" fillId="3" borderId="0" xfId="0" applyFont="true" applyBorder="false" applyAlignment="true" applyProtection="true">
      <alignment horizontal="center" vertical="bottom" textRotation="0" wrapText="false" indent="0" shrinkToFit="false"/>
      <protection locked="true" hidden="false"/>
    </xf>
    <xf numFmtId="165" fontId="7" fillId="0" borderId="0" xfId="0" applyFont="true" applyBorder="false" applyAlignment="true" applyProtection="true">
      <alignment horizontal="general" vertical="bottom" textRotation="0" wrapText="false" indent="0" shrinkToFit="false"/>
      <protection locked="true" hidden="false"/>
    </xf>
    <xf numFmtId="165" fontId="6" fillId="0" borderId="0" xfId="0" applyFont="true" applyBorder="false" applyAlignment="true" applyProtection="true">
      <alignment horizontal="general" vertical="bottom" textRotation="0" wrapText="false" indent="0" shrinkToFit="false"/>
      <protection locked="true" hidden="false"/>
    </xf>
    <xf numFmtId="169" fontId="7" fillId="0" borderId="0" xfId="0" applyFont="true" applyBorder="false" applyAlignment="true" applyProtection="true">
      <alignment horizontal="general" vertical="bottom" textRotation="0" wrapText="false" indent="0" shrinkToFit="false"/>
      <protection locked="true" hidden="false"/>
    </xf>
    <xf numFmtId="170" fontId="7" fillId="0" borderId="0" xfId="0" applyFont="true" applyBorder="false" applyAlignment="true" applyProtection="true">
      <alignment horizontal="general" vertical="bottom" textRotation="0" wrapText="false" indent="0" shrinkToFit="false"/>
      <protection locked="true" hidden="false"/>
    </xf>
    <xf numFmtId="164" fontId="12" fillId="0" borderId="0" xfId="0" applyFont="true" applyBorder="false" applyAlignment="true" applyProtection="true">
      <alignment horizontal="general" vertical="bottom" textRotation="0" wrapText="false" indent="0" shrinkToFit="true"/>
      <protection locked="true" hidden="false"/>
    </xf>
    <xf numFmtId="171" fontId="12" fillId="0" borderId="0" xfId="0" applyFont="true" applyBorder="false" applyAlignment="true" applyProtection="true">
      <alignment horizontal="general" vertical="bottom" textRotation="0" wrapText="false" indent="0" shrinkToFit="false"/>
      <protection locked="true" hidden="false"/>
    </xf>
    <xf numFmtId="166" fontId="13" fillId="0" borderId="0" xfId="0" applyFont="true" applyBorder="false" applyAlignment="true" applyProtection="true">
      <alignment horizontal="general" vertical="bottom" textRotation="0" wrapText="false" indent="0" shrinkToFit="false"/>
      <protection locked="true" hidden="false"/>
    </xf>
    <xf numFmtId="167" fontId="6" fillId="0" borderId="0" xfId="0" applyFont="true" applyBorder="false" applyAlignment="true" applyProtection="true">
      <alignment horizontal="general" vertical="bottom" textRotation="0" wrapText="false" indent="0" shrinkToFit="false"/>
      <protection locked="true" hidden="false"/>
    </xf>
    <xf numFmtId="164" fontId="14" fillId="0" borderId="0" xfId="0" applyFont="true" applyBorder="true" applyAlignment="true" applyProtection="true">
      <alignment horizontal="left" vertical="top" textRotation="0" wrapText="true" indent="0" shrinkToFit="false"/>
      <protection locked="true" hidden="false"/>
    </xf>
    <xf numFmtId="164" fontId="11" fillId="3" borderId="0" xfId="0" applyFont="true" applyBorder="false" applyAlignment="true" applyProtection="true">
      <alignment horizontal="general" vertical="bottom" textRotation="0" wrapText="false" indent="0" shrinkToFit="false"/>
      <protection locked="true" hidden="false"/>
    </xf>
    <xf numFmtId="172" fontId="7" fillId="0" borderId="0" xfId="0" applyFont="true" applyBorder="false" applyAlignment="true" applyProtection="true">
      <alignment horizontal="general" vertical="bottom" textRotation="0" wrapText="false" indent="0" shrinkToFit="false"/>
      <protection locked="true" hidden="false"/>
    </xf>
    <xf numFmtId="167" fontId="11" fillId="3" borderId="0" xfId="0" applyFont="true" applyBorder="false" applyAlignment="true" applyProtection="true">
      <alignment horizontal="center" vertical="bottom" textRotation="0" wrapText="false" indent="0" shrinkToFit="false"/>
      <protection locked="true" hidden="false"/>
    </xf>
    <xf numFmtId="166" fontId="18" fillId="2" borderId="0" xfId="0" applyFont="true" applyBorder="false" applyAlignment="true" applyProtection="true">
      <alignment horizontal="general" vertical="bottom" textRotation="0" wrapText="false" indent="0" shrinkToFit="false"/>
      <protection locked="true" hidden="false"/>
    </xf>
    <xf numFmtId="172" fontId="18" fillId="0" borderId="0" xfId="0" applyFont="true" applyBorder="false" applyAlignment="true" applyProtection="true">
      <alignment horizontal="general" vertical="bottom" textRotation="0" wrapText="false" indent="0" shrinkToFit="false"/>
      <protection locked="true" hidden="false"/>
    </xf>
    <xf numFmtId="172" fontId="8"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true" applyAlignment="true" applyProtection="true">
      <alignment horizontal="general" vertical="bottom" textRotation="0" wrapText="true" indent="0" shrinkToFit="false"/>
      <protection locked="true" hidden="false"/>
    </xf>
    <xf numFmtId="164" fontId="19"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top" textRotation="0" wrapText="true" indent="0" shrinkToFit="false"/>
      <protection locked="true" hidden="false"/>
    </xf>
    <xf numFmtId="164" fontId="14" fillId="0" borderId="0" xfId="0" applyFont="true" applyBorder="true" applyAlignment="true" applyProtection="tru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ont>
        <name val="Arial"/>
        <charset val="1"/>
        <family val="0"/>
        <b val="1"/>
        <color rgb="FF2E7D32"/>
      </font>
      <fill>
        <patternFill>
          <bgColor rgb="FFE2F0D9"/>
        </patternFill>
      </fill>
    </dxf>
    <dxf>
      <font>
        <name val="Arial"/>
        <charset val="1"/>
        <family val="0"/>
        <b val="1"/>
        <color rgb="FFC62828"/>
      </font>
      <fill>
        <patternFill>
          <bgColor rgb="FFFCE4E4"/>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F6B5C"/>
      <rgbColor rgb="FFB3B3B3"/>
      <rgbColor rgb="FF7F7F7F"/>
      <rgbColor rgb="FF9999FF"/>
      <rgbColor rgb="FF993366"/>
      <rgbColor rgb="FFFCE4E4"/>
      <rgbColor rgb="FFE0E0E0"/>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2F0D9"/>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1F3864"/>
      <rgbColor rgb="FF2E7D32"/>
      <rgbColor rgb="FF003300"/>
      <rgbColor rgb="FF333300"/>
      <rgbColor rgb="FFC62828"/>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Chiffre d'affaires projeté 2026-2030 (Md FCFA)</a:t>
            </a:r>
          </a:p>
        </c:rich>
      </c:tx>
      <c:overlay val="0"/>
      <c:spPr>
        <a:noFill/>
        <a:ln w="0">
          <a:noFill/>
        </a:ln>
      </c:spPr>
    </c:title>
    <c:autoTitleDeleted val="0"/>
    <c:plotArea>
      <c:barChart>
        <c:barDir val="col"/>
        <c:grouping val="clustered"/>
        <c:varyColors val="0"/>
        <c:ser>
          <c:idx val="0"/>
          <c:order val="0"/>
          <c:tx>
            <c:strRef>
              <c:f>DCF!B7</c:f>
              <c:strCache>
                <c:ptCount val="1"/>
                <c:pt idx="0">
                  <c:v>Chiffre d'affaires</c:v>
                </c:pt>
              </c:strCache>
            </c:strRef>
          </c:tx>
          <c:spPr>
            <a:solidFill>
              <a:srgbClr val="1f3864"/>
            </a:solidFill>
            <a:ln w="0">
              <a:solidFill>
                <a:srgbClr val="1f3864"/>
              </a:solidFill>
            </a:ln>
          </c:spPr>
          <c:invertIfNegative val="0"/>
          <c:dLbls>
            <c:numFmt formatCode="#,##0" sourceLinked="1"/>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DCF!$C$5:$G$5</c:f>
              <c:strCache>
                <c:ptCount val="5"/>
                <c:pt idx="0">
                  <c:v>2026</c:v>
                </c:pt>
                <c:pt idx="1">
                  <c:v>2027</c:v>
                </c:pt>
                <c:pt idx="2">
                  <c:v>2028</c:v>
                </c:pt>
                <c:pt idx="3">
                  <c:v>2029</c:v>
                </c:pt>
                <c:pt idx="4">
                  <c:v>2030</c:v>
                </c:pt>
              </c:strCache>
            </c:strRef>
          </c:cat>
          <c:val>
            <c:numRef>
              <c:f>DCF!$C$7:$G$7</c:f>
              <c:numCache>
                <c:formatCode>#,##0.0;\(#,##0.0\);\-</c:formatCode>
                <c:ptCount val="5"/>
                <c:pt idx="0">
                  <c:v>2057.717</c:v>
                </c:pt>
                <c:pt idx="1">
                  <c:v>2181.18002</c:v>
                </c:pt>
                <c:pt idx="2">
                  <c:v>2290.239021</c:v>
                </c:pt>
                <c:pt idx="3">
                  <c:v>2393.299776945</c:v>
                </c:pt>
                <c:pt idx="4">
                  <c:v>2489.0317680228</c:v>
                </c:pt>
              </c:numCache>
            </c:numRef>
          </c:val>
        </c:ser>
        <c:gapWidth val="150"/>
        <c:overlap val="0"/>
        <c:axId val="90558761"/>
        <c:axId val="50465841"/>
      </c:barChart>
      <c:catAx>
        <c:axId val="90558761"/>
        <c:scaling>
          <c:orientation val="minMax"/>
        </c:scaling>
        <c:delete val="0"/>
        <c:axPos val="b"/>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50465841"/>
        <c:crosses val="autoZero"/>
        <c:auto val="1"/>
        <c:lblAlgn val="ctr"/>
        <c:lblOffset val="100"/>
        <c:noMultiLvlLbl val="0"/>
      </c:catAx>
      <c:valAx>
        <c:axId val="50465841"/>
        <c:scaling>
          <c:orientation val="minMax"/>
        </c:scaling>
        <c:delete val="0"/>
        <c:axPos val="l"/>
        <c:majorGridlines>
          <c:spPr>
            <a:ln w="9360">
              <a:solidFill>
                <a:srgbClr val="e0e0e0"/>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Md FCFA</a:t>
                </a:r>
              </a:p>
            </c:rich>
          </c:tx>
          <c:overlay val="0"/>
          <c:spPr>
            <a:noFill/>
            <a:ln w="0">
              <a:noFill/>
            </a:ln>
          </c:spPr>
        </c:title>
        <c:numFmt formatCode="#,##0.0;\(#,##0.0\);\-"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90558761"/>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Valeur implicite par action : DCF vs marché (FCFA)</a:t>
            </a:r>
          </a:p>
        </c:rich>
      </c:tx>
      <c:overlay val="0"/>
      <c:spPr>
        <a:noFill/>
        <a:ln w="0">
          <a:noFill/>
        </a:ln>
      </c:spPr>
    </c:title>
    <c:autoTitleDeleted val="0"/>
    <c:plotArea>
      <c:barChart>
        <c:barDir val="bar"/>
        <c:grouping val="clustered"/>
        <c:varyColors val="0"/>
        <c:ser>
          <c:idx val="0"/>
          <c:order val="0"/>
          <c:spPr>
            <a:solidFill>
              <a:srgbClr val="1f3864"/>
            </a:solidFill>
            <a:ln w="0">
              <a:solidFill>
                <a:srgbClr val="1f3864"/>
              </a:solidFill>
            </a:ln>
          </c:spPr>
          <c:invertIfNegative val="0"/>
          <c:dLbls>
            <c:numFmt formatCode="#,##0" sourceLinked="1"/>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DCF!$I$20:$I$21</c:f>
              <c:strCache>
                <c:ptCount val="2"/>
                <c:pt idx="0">
                  <c:v>VE implicite (DCF)</c:v>
                </c:pt>
                <c:pt idx="1">
                  <c:v>Cours de marché</c:v>
                </c:pt>
              </c:strCache>
            </c:strRef>
          </c:cat>
          <c:val>
            <c:numRef>
              <c:f>DCF!$J$20:$J$21</c:f>
              <c:numCache>
                <c:formatCode>#,##0" FCFA"</c:formatCode>
                <c:ptCount val="2"/>
                <c:pt idx="0">
                  <c:v>63277.7601805374</c:v>
                </c:pt>
                <c:pt idx="1">
                  <c:v>44980</c:v>
                </c:pt>
              </c:numCache>
            </c:numRef>
          </c:val>
        </c:ser>
        <c:gapWidth val="150"/>
        <c:overlap val="0"/>
        <c:axId val="61581075"/>
        <c:axId val="69560963"/>
      </c:barChart>
      <c:catAx>
        <c:axId val="61581075"/>
        <c:scaling>
          <c:orientation val="minMax"/>
        </c:scaling>
        <c:delete val="0"/>
        <c:axPos val="b"/>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69560963"/>
        <c:crosses val="autoZero"/>
        <c:auto val="1"/>
        <c:lblAlgn val="ctr"/>
        <c:lblOffset val="100"/>
        <c:noMultiLvlLbl val="0"/>
      </c:catAx>
      <c:valAx>
        <c:axId val="69560963"/>
        <c:scaling>
          <c:orientation val="minMax"/>
        </c:scaling>
        <c:delete val="0"/>
        <c:axPos val="l"/>
        <c:majorGridlines>
          <c:spPr>
            <a:ln w="9360">
              <a:solidFill>
                <a:srgbClr val="e0e0e0"/>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FCFA/action</a:t>
                </a:r>
              </a:p>
            </c:rich>
          </c:tx>
          <c:overlay val="0"/>
          <c:spPr>
            <a:noFill/>
            <a:ln w="0">
              <a:noFill/>
            </a:ln>
          </c:spPr>
        </c:title>
        <c:numFmt formatCode="#,##0&quot; FCFA&quot;"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61581075"/>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0</xdr:colOff>
      <xdr:row>4</xdr:row>
      <xdr:rowOff>0</xdr:rowOff>
    </xdr:from>
    <xdr:to>
      <xdr:col>17</xdr:col>
      <xdr:colOff>248040</xdr:colOff>
      <xdr:row>19</xdr:row>
      <xdr:rowOff>13680</xdr:rowOff>
    </xdr:to>
    <xdr:graphicFrame>
      <xdr:nvGraphicFramePr>
        <xdr:cNvPr id="0" name="Chart 1"/>
        <xdr:cNvGraphicFramePr/>
      </xdr:nvGraphicFramePr>
      <xdr:xfrm>
        <a:off x="9046800" y="790560"/>
        <a:ext cx="6338520" cy="28713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0</xdr:colOff>
      <xdr:row>22</xdr:row>
      <xdr:rowOff>0</xdr:rowOff>
    </xdr:from>
    <xdr:to>
      <xdr:col>17</xdr:col>
      <xdr:colOff>248040</xdr:colOff>
      <xdr:row>37</xdr:row>
      <xdr:rowOff>13680</xdr:rowOff>
    </xdr:to>
    <xdr:graphicFrame>
      <xdr:nvGraphicFramePr>
        <xdr:cNvPr id="1" name="Chart 2"/>
        <xdr:cNvGraphicFramePr/>
      </xdr:nvGraphicFramePr>
      <xdr:xfrm>
        <a:off x="9046800" y="4219560"/>
        <a:ext cx="6338520" cy="287136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1.xml"/><Relationship Id="rId3"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K1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2" style="1" width="14"/>
    <col collapsed="false" customWidth="true" hidden="false" outlineLevel="0" max="11" min="3" style="1" width="12"/>
  </cols>
  <sheetData>
    <row r="2" customFormat="false" ht="17.25" hidden="false" customHeight="true" outlineLevel="0" collapsed="false">
      <c r="B2" s="2" t="s">
        <v>0</v>
      </c>
    </row>
    <row r="3" customFormat="false" ht="15" hidden="false" customHeight="true" outlineLevel="0" collapsed="false">
      <c r="B3" s="3" t="s">
        <v>1</v>
      </c>
    </row>
    <row r="5" customFormat="false" ht="15" hidden="false" customHeight="true" outlineLevel="0" collapsed="false">
      <c r="B5" s="4" t="s">
        <v>2</v>
      </c>
    </row>
    <row r="6" customFormat="false" ht="15" hidden="false" customHeight="true" outlineLevel="0" collapsed="false">
      <c r="B6" s="5" t="s">
        <v>3</v>
      </c>
    </row>
    <row r="7" customFormat="false" ht="15" hidden="false" customHeight="true" outlineLevel="0" collapsed="false">
      <c r="B7" s="5" t="s">
        <v>4</v>
      </c>
    </row>
    <row r="8" customFormat="false" ht="15" hidden="false" customHeight="true" outlineLevel="0" collapsed="false">
      <c r="B8" s="5" t="s">
        <v>5</v>
      </c>
    </row>
    <row r="9" customFormat="false" ht="15" hidden="false" customHeight="true" outlineLevel="0" collapsed="false">
      <c r="B9" s="5" t="s">
        <v>6</v>
      </c>
    </row>
    <row r="10" customFormat="false" ht="15" hidden="false" customHeight="true" outlineLevel="0" collapsed="false">
      <c r="B10" s="5" t="s">
        <v>7</v>
      </c>
    </row>
    <row r="11" customFormat="false" ht="15" hidden="false" customHeight="true" outlineLevel="0" collapsed="false">
      <c r="B11" s="4" t="s">
        <v>8</v>
      </c>
    </row>
    <row r="12" customFormat="false" ht="15" hidden="false" customHeight="true" outlineLevel="0" collapsed="false">
      <c r="B12" s="6" t="s">
        <v>9</v>
      </c>
      <c r="C12" s="6"/>
      <c r="D12" s="6"/>
      <c r="E12" s="6"/>
      <c r="F12" s="6"/>
      <c r="G12" s="6"/>
      <c r="H12" s="6"/>
      <c r="I12" s="6"/>
      <c r="J12" s="6"/>
      <c r="K12" s="6"/>
    </row>
    <row r="13" customFormat="false" ht="15" hidden="false" customHeight="true" outlineLevel="0" collapsed="false">
      <c r="B13" s="6"/>
      <c r="C13" s="6"/>
      <c r="D13" s="6"/>
      <c r="E13" s="6"/>
      <c r="F13" s="6"/>
      <c r="G13" s="6"/>
      <c r="H13" s="6"/>
      <c r="I13" s="6"/>
      <c r="J13" s="6"/>
      <c r="K13" s="6"/>
    </row>
    <row r="14" customFormat="false" ht="15" hidden="false" customHeight="true" outlineLevel="0" collapsed="false">
      <c r="B14" s="6"/>
      <c r="C14" s="6"/>
      <c r="D14" s="6"/>
      <c r="E14" s="6"/>
      <c r="F14" s="6"/>
      <c r="G14" s="6"/>
      <c r="H14" s="6"/>
      <c r="I14" s="6"/>
      <c r="J14" s="6"/>
      <c r="K14" s="6"/>
    </row>
    <row r="15" customFormat="false" ht="15" hidden="false" customHeight="true" outlineLevel="0" collapsed="false">
      <c r="B15" s="6"/>
      <c r="C15" s="6"/>
      <c r="D15" s="6"/>
      <c r="E15" s="6"/>
      <c r="F15" s="6"/>
      <c r="G15" s="6"/>
      <c r="H15" s="6"/>
      <c r="I15" s="6"/>
      <c r="J15" s="6"/>
      <c r="K15" s="6"/>
    </row>
    <row r="16" customFormat="false" ht="15" hidden="false" customHeight="true" outlineLevel="0" collapsed="false">
      <c r="B16" s="6"/>
      <c r="C16" s="6"/>
      <c r="D16" s="6"/>
      <c r="E16" s="6"/>
      <c r="F16" s="6"/>
      <c r="G16" s="6"/>
      <c r="H16" s="6"/>
      <c r="I16" s="6"/>
      <c r="J16" s="6"/>
      <c r="K16" s="6"/>
    </row>
  </sheetData>
  <mergeCells count="1">
    <mergeCell ref="B12:K16"/>
  </mergeCells>
  <printOptions headings="false" gridLines="false" gridLinesSet="true" horizontalCentered="false" verticalCentered="false"/>
  <pageMargins left="0.25" right="0.25" top="0.4" bottom="0.4"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G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2" style="1" width="42"/>
    <col collapsed="false" customWidth="true" hidden="false" outlineLevel="0" max="7" min="3" style="1" width="13"/>
  </cols>
  <sheetData>
    <row r="2" customFormat="false" ht="17.25" hidden="false" customHeight="true" outlineLevel="0" collapsed="false">
      <c r="B2" s="2" t="s">
        <v>10</v>
      </c>
    </row>
    <row r="3" customFormat="false" ht="15" hidden="false" customHeight="true" outlineLevel="0" collapsed="false">
      <c r="B3" s="3" t="s">
        <v>11</v>
      </c>
    </row>
    <row r="5" customFormat="false" ht="15" hidden="false" customHeight="true" outlineLevel="0" collapsed="false">
      <c r="B5" s="5" t="s">
        <v>12</v>
      </c>
    </row>
    <row r="6" customFormat="false" ht="15" hidden="false" customHeight="true" outlineLevel="0" collapsed="false">
      <c r="B6" s="5" t="s">
        <v>13</v>
      </c>
      <c r="E6" s="7" t="n">
        <v>1923.1</v>
      </c>
    </row>
    <row r="7" customFormat="false" ht="15" hidden="false" customHeight="true" outlineLevel="0" collapsed="false">
      <c r="B7" s="5" t="s">
        <v>14</v>
      </c>
      <c r="E7" s="7" t="n">
        <v>921.2</v>
      </c>
    </row>
    <row r="8" customFormat="false" ht="15" hidden="false" customHeight="true" outlineLevel="0" collapsed="false">
      <c r="B8" s="5" t="s">
        <v>15</v>
      </c>
      <c r="E8" s="7" t="n">
        <v>422</v>
      </c>
    </row>
    <row r="9" customFormat="false" ht="15" hidden="false" customHeight="true" outlineLevel="0" collapsed="false">
      <c r="B9" s="5" t="s">
        <v>16</v>
      </c>
      <c r="E9" s="8" t="n">
        <v>100</v>
      </c>
    </row>
    <row r="10" customFormat="false" ht="15" hidden="false" customHeight="true" outlineLevel="0" collapsed="false">
      <c r="B10" s="5" t="s">
        <v>17</v>
      </c>
      <c r="E10" s="7" t="n">
        <v>4498</v>
      </c>
    </row>
    <row r="12" customFormat="false" ht="15" hidden="false" customHeight="true" outlineLevel="0" collapsed="false">
      <c r="B12" s="4" t="s">
        <v>18</v>
      </c>
    </row>
    <row r="13" customFormat="false" ht="15" hidden="false" customHeight="true" outlineLevel="0" collapsed="false">
      <c r="B13" s="5" t="s">
        <v>19</v>
      </c>
      <c r="E13" s="9" t="n">
        <f aca="false">E7/E6</f>
        <v>0.479018251780979</v>
      </c>
    </row>
    <row r="14" customFormat="false" ht="15" hidden="false" customHeight="true" outlineLevel="0" collapsed="false">
      <c r="B14" s="5" t="s">
        <v>20</v>
      </c>
      <c r="E14" s="9" t="n">
        <f aca="false">E8/E6</f>
        <v>0.219437366751599</v>
      </c>
    </row>
    <row r="15" customFormat="false" ht="15" hidden="false" customHeight="true" outlineLevel="0" collapsed="false">
      <c r="B15" s="5" t="s">
        <v>21</v>
      </c>
      <c r="E15" s="10" t="n">
        <f aca="false">E10*1000/E9</f>
        <v>44980</v>
      </c>
    </row>
    <row r="17" customFormat="false" ht="15" hidden="false" customHeight="true" outlineLevel="0" collapsed="false">
      <c r="B17" s="4" t="s">
        <v>22</v>
      </c>
    </row>
    <row r="18" customFormat="false" ht="15" hidden="false" customHeight="true" outlineLevel="0" collapsed="false">
      <c r="C18" s="11" t="n">
        <v>2026</v>
      </c>
      <c r="D18" s="11" t="n">
        <v>2027</v>
      </c>
      <c r="E18" s="11" t="n">
        <v>2028</v>
      </c>
      <c r="F18" s="11" t="n">
        <v>2029</v>
      </c>
      <c r="G18" s="11" t="n">
        <v>2030</v>
      </c>
    </row>
    <row r="19" customFormat="false" ht="15" hidden="false" customHeight="true" outlineLevel="0" collapsed="false">
      <c r="B19" s="5" t="s">
        <v>23</v>
      </c>
      <c r="C19" s="12" t="n">
        <v>0.07</v>
      </c>
      <c r="D19" s="12" t="n">
        <v>0.06</v>
      </c>
      <c r="E19" s="12" t="n">
        <v>0.05</v>
      </c>
      <c r="F19" s="12" t="n">
        <v>0.045</v>
      </c>
      <c r="G19" s="12" t="n">
        <v>0.04</v>
      </c>
    </row>
    <row r="20" customFormat="false" ht="15" hidden="false" customHeight="true" outlineLevel="0" collapsed="false">
      <c r="B20" s="5" t="s">
        <v>24</v>
      </c>
      <c r="C20" s="9" t="n">
        <f aca="false">$E$14</f>
        <v>0.219437366751599</v>
      </c>
      <c r="D20" s="9" t="n">
        <f aca="false">C20</f>
        <v>0.219437366751599</v>
      </c>
      <c r="E20" s="9" t="n">
        <f aca="false">C20</f>
        <v>0.219437366751599</v>
      </c>
      <c r="F20" s="9" t="n">
        <f aca="false">C20</f>
        <v>0.219437366751599</v>
      </c>
      <c r="G20" s="9" t="n">
        <f aca="false">C20</f>
        <v>0.219437366751599</v>
      </c>
    </row>
    <row r="22" customFormat="false" ht="15" hidden="false" customHeight="true" outlineLevel="0" collapsed="false">
      <c r="B22" s="4" t="s">
        <v>25</v>
      </c>
    </row>
    <row r="23" customFormat="false" ht="15" hidden="false" customHeight="true" outlineLevel="0" collapsed="false">
      <c r="B23" s="5" t="s">
        <v>26</v>
      </c>
      <c r="E23" s="12" t="n">
        <v>0.11</v>
      </c>
    </row>
    <row r="24" customFormat="false" ht="15" hidden="false" customHeight="true" outlineLevel="0" collapsed="false">
      <c r="B24" s="5" t="s">
        <v>27</v>
      </c>
      <c r="E24" s="12" t="n">
        <v>0.03</v>
      </c>
    </row>
    <row r="26" customFormat="false" ht="15" hidden="false" customHeight="true" outlineLevel="0" collapsed="false">
      <c r="B26" s="4" t="s">
        <v>28</v>
      </c>
    </row>
    <row r="27" customFormat="false" ht="15" hidden="false" customHeight="true" outlineLevel="0" collapsed="false">
      <c r="B27" s="13" t="s">
        <v>29</v>
      </c>
    </row>
    <row r="28" customFormat="false" ht="15" hidden="false" customHeight="true" outlineLevel="0" collapsed="false">
      <c r="B28" s="13" t="s">
        <v>30</v>
      </c>
    </row>
    <row r="29" customFormat="false" ht="15" hidden="false" customHeight="true" outlineLevel="0" collapsed="false">
      <c r="B29" s="13" t="s">
        <v>31</v>
      </c>
    </row>
    <row r="30" customFormat="false" ht="15" hidden="false" customHeight="true" outlineLevel="0" collapsed="false">
      <c r="B30" s="13" t="s">
        <v>32</v>
      </c>
    </row>
  </sheetData>
  <printOptions headings="false" gridLines="false" gridLinesSet="true" horizontalCentered="false" verticalCentered="false"/>
  <pageMargins left="0.25" right="0.25" top="0.4" bottom="0.4"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J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2" min="2" style="1" width="46"/>
    <col collapsed="false" customWidth="true" hidden="false" outlineLevel="0" max="7" min="3" style="1" width="13"/>
    <col collapsed="false" customWidth="true" hidden="false" outlineLevel="0" max="10" min="10" style="1" width="17"/>
  </cols>
  <sheetData>
    <row r="2" customFormat="false" ht="17.25" hidden="false" customHeight="true" outlineLevel="0" collapsed="false">
      <c r="B2" s="2" t="s">
        <v>33</v>
      </c>
    </row>
    <row r="3" customFormat="false" ht="15" hidden="false" customHeight="true" outlineLevel="0" collapsed="false">
      <c r="B3" s="3" t="s">
        <v>34</v>
      </c>
    </row>
    <row r="5" customFormat="false" ht="15" hidden="false" customHeight="true" outlineLevel="0" collapsed="false">
      <c r="B5" s="14"/>
      <c r="C5" s="14" t="s">
        <v>35</v>
      </c>
      <c r="D5" s="14" t="s">
        <v>36</v>
      </c>
      <c r="E5" s="14" t="s">
        <v>37</v>
      </c>
      <c r="F5" s="14" t="s">
        <v>38</v>
      </c>
      <c r="G5" s="14" t="s">
        <v>39</v>
      </c>
    </row>
    <row r="6" customFormat="false" ht="15" hidden="false" customHeight="true" outlineLevel="0" collapsed="false">
      <c r="B6" s="5" t="s">
        <v>40</v>
      </c>
      <c r="C6" s="9" t="n">
        <f aca="false">Assumptions!C19</f>
        <v>0.07</v>
      </c>
      <c r="D6" s="9" t="n">
        <f aca="false">Assumptions!D19</f>
        <v>0.06</v>
      </c>
      <c r="E6" s="9" t="n">
        <f aca="false">Assumptions!E19</f>
        <v>0.05</v>
      </c>
      <c r="F6" s="9" t="n">
        <f aca="false">Assumptions!F19</f>
        <v>0.045</v>
      </c>
      <c r="G6" s="9" t="n">
        <f aca="false">Assumptions!G19</f>
        <v>0.04</v>
      </c>
    </row>
    <row r="7" customFormat="false" ht="15" hidden="false" customHeight="true" outlineLevel="0" collapsed="false">
      <c r="B7" s="5" t="s">
        <v>41</v>
      </c>
      <c r="C7" s="15" t="n">
        <f aca="false">Assumptions!$E$6*(1+C6)</f>
        <v>2057.717</v>
      </c>
      <c r="D7" s="15" t="n">
        <f aca="false">C7*(1+D6)</f>
        <v>2181.18002</v>
      </c>
      <c r="E7" s="15" t="n">
        <f aca="false">D7*(1+E6)</f>
        <v>2290.239021</v>
      </c>
      <c r="F7" s="15" t="n">
        <f aca="false">E7*(1+F6)</f>
        <v>2393.299776945</v>
      </c>
      <c r="G7" s="15" t="n">
        <f aca="false">F7*(1+G6)</f>
        <v>2489.0317680228</v>
      </c>
    </row>
    <row r="8" customFormat="false" ht="15" hidden="false" customHeight="true" outlineLevel="0" collapsed="false">
      <c r="B8" s="5" t="s">
        <v>42</v>
      </c>
      <c r="C8" s="9" t="n">
        <f aca="false">Assumptions!C20</f>
        <v>0.219437366751599</v>
      </c>
      <c r="D8" s="9" t="n">
        <f aca="false">Assumptions!D20</f>
        <v>0.219437366751599</v>
      </c>
      <c r="E8" s="9" t="n">
        <f aca="false">Assumptions!E20</f>
        <v>0.219437366751599</v>
      </c>
      <c r="F8" s="9" t="n">
        <f aca="false">Assumptions!F20</f>
        <v>0.219437366751599</v>
      </c>
      <c r="G8" s="9" t="n">
        <f aca="false">Assumptions!G20</f>
        <v>0.219437366751599</v>
      </c>
    </row>
    <row r="9" customFormat="false" ht="15" hidden="false" customHeight="true" outlineLevel="0" collapsed="false">
      <c r="B9" s="5" t="s">
        <v>43</v>
      </c>
      <c r="C9" s="16" t="n">
        <f aca="false">C7*C8</f>
        <v>451.54</v>
      </c>
      <c r="D9" s="16" t="n">
        <f aca="false">D7*D8</f>
        <v>478.6324</v>
      </c>
      <c r="E9" s="16" t="n">
        <f aca="false">E7*E8</f>
        <v>502.56402</v>
      </c>
      <c r="F9" s="16" t="n">
        <f aca="false">F7*F8</f>
        <v>525.1794009</v>
      </c>
      <c r="G9" s="16" t="n">
        <f aca="false">G7*G8</f>
        <v>546.186576936</v>
      </c>
    </row>
    <row r="10" customFormat="false" ht="15" hidden="false" customHeight="true" outlineLevel="0" collapsed="false">
      <c r="B10" s="5" t="s">
        <v>44</v>
      </c>
      <c r="C10" s="17" t="n">
        <v>0.5</v>
      </c>
      <c r="D10" s="17" t="n">
        <v>1.5</v>
      </c>
      <c r="E10" s="17" t="n">
        <v>2.5</v>
      </c>
      <c r="F10" s="17" t="n">
        <v>3.5</v>
      </c>
      <c r="G10" s="17" t="n">
        <v>4.5</v>
      </c>
    </row>
    <row r="11" customFormat="false" ht="15" hidden="false" customHeight="true" outlineLevel="0" collapsed="false">
      <c r="B11" s="5" t="s">
        <v>45</v>
      </c>
      <c r="C11" s="18" t="n">
        <f aca="false">1/(1+Assumptions!$E$23)^C10</f>
        <v>0.949157995752499</v>
      </c>
      <c r="D11" s="18" t="n">
        <f aca="false">1/(1+Assumptions!$E$23)^D10</f>
        <v>0.85509729347072</v>
      </c>
      <c r="E11" s="18" t="n">
        <f aca="false">1/(1+Assumptions!$E$23)^E10</f>
        <v>0.770357922045693</v>
      </c>
      <c r="F11" s="18" t="n">
        <f aca="false">1/(1+Assumptions!$E$23)^F10</f>
        <v>0.694016145987111</v>
      </c>
      <c r="G11" s="18" t="n">
        <f aca="false">1/(1+Assumptions!$E$23)^G10</f>
        <v>0.62523977115956</v>
      </c>
    </row>
    <row r="12" customFormat="false" ht="15" hidden="false" customHeight="true" outlineLevel="0" collapsed="false">
      <c r="B12" s="5" t="s">
        <v>46</v>
      </c>
      <c r="C12" s="15" t="n">
        <f aca="false">C9*C11</f>
        <v>428.582801402084</v>
      </c>
      <c r="D12" s="15" t="n">
        <f aca="false">D9*D11</f>
        <v>409.277269807395</v>
      </c>
      <c r="E12" s="15" t="n">
        <f aca="false">E9*E11</f>
        <v>387.15417414213</v>
      </c>
      <c r="F12" s="15" t="n">
        <f aca="false">F9*F11</f>
        <v>364.482983764438</v>
      </c>
      <c r="G12" s="15" t="n">
        <f aca="false">G9*G11</f>
        <v>341.497570373888</v>
      </c>
    </row>
    <row r="14" customFormat="false" ht="15" hidden="false" customHeight="true" outlineLevel="0" collapsed="false">
      <c r="B14" s="5" t="s">
        <v>47</v>
      </c>
      <c r="C14" s="16" t="n">
        <f aca="false">SUM(C12:G12)</f>
        <v>1930.99479948993</v>
      </c>
    </row>
    <row r="16" customFormat="false" ht="15" hidden="false" customHeight="true" outlineLevel="0" collapsed="false">
      <c r="B16" s="5" t="s">
        <v>48</v>
      </c>
      <c r="C16" s="15" t="n">
        <f aca="false">G9*(1+Assumptions!$E$24)/(Assumptions!$E$23-Assumptions!$E$24)</f>
        <v>7032.152178051</v>
      </c>
    </row>
    <row r="17" customFormat="false" ht="15" hidden="false" customHeight="true" outlineLevel="0" collapsed="false">
      <c r="B17" s="5" t="s">
        <v>49</v>
      </c>
      <c r="C17" s="16" t="n">
        <f aca="false">C16*G11</f>
        <v>4396.78121856381</v>
      </c>
    </row>
    <row r="19" customFormat="false" ht="15" hidden="false" customHeight="true" outlineLevel="0" collapsed="false">
      <c r="B19" s="5" t="s">
        <v>50</v>
      </c>
      <c r="C19" s="16" t="n">
        <f aca="false">C14+C17</f>
        <v>6327.77601805374</v>
      </c>
    </row>
    <row r="20" customFormat="false" ht="15" hidden="false" customHeight="true" outlineLevel="0" collapsed="false">
      <c r="B20" s="5" t="s">
        <v>51</v>
      </c>
      <c r="C20" s="9" t="n">
        <f aca="false">C17/C19</f>
        <v>0.694838313811895</v>
      </c>
      <c r="I20" s="19" t="s">
        <v>52</v>
      </c>
      <c r="J20" s="20" t="n">
        <f aca="false">C23</f>
        <v>63277.7601805374</v>
      </c>
    </row>
    <row r="21" customFormat="false" ht="15" hidden="false" customHeight="true" outlineLevel="0" collapsed="false">
      <c r="I21" s="19" t="s">
        <v>53</v>
      </c>
      <c r="J21" s="20" t="n">
        <f aca="false">C24</f>
        <v>44980</v>
      </c>
    </row>
    <row r="22" customFormat="false" ht="15" hidden="false" customHeight="true" outlineLevel="0" collapsed="false">
      <c r="B22" s="5" t="s">
        <v>16</v>
      </c>
      <c r="C22" s="10" t="n">
        <f aca="false">Assumptions!E9</f>
        <v>100</v>
      </c>
    </row>
    <row r="23" customFormat="false" ht="15" hidden="false" customHeight="true" outlineLevel="0" collapsed="false">
      <c r="B23" s="5" t="s">
        <v>54</v>
      </c>
      <c r="C23" s="21" t="n">
        <f aca="false">C19*1000/C22</f>
        <v>63277.7601805374</v>
      </c>
    </row>
    <row r="24" customFormat="false" ht="15" hidden="false" customHeight="true" outlineLevel="0" collapsed="false">
      <c r="B24" s="5" t="s">
        <v>55</v>
      </c>
      <c r="C24" s="10" t="n">
        <f aca="false">Assumptions!E15</f>
        <v>44980</v>
      </c>
    </row>
    <row r="25" customFormat="false" ht="15" hidden="false" customHeight="true" outlineLevel="0" collapsed="false">
      <c r="B25" s="5"/>
      <c r="C25" s="22"/>
    </row>
    <row r="27" customFormat="false" ht="15" hidden="false" customHeight="true" outlineLevel="0" collapsed="false">
      <c r="B27" s="23" t="s">
        <v>56</v>
      </c>
      <c r="C27" s="23"/>
      <c r="D27" s="23"/>
      <c r="E27" s="23"/>
      <c r="F27" s="23"/>
      <c r="G27" s="23"/>
      <c r="H27" s="23"/>
    </row>
    <row r="28" customFormat="false" ht="15" hidden="false" customHeight="true" outlineLevel="0" collapsed="false">
      <c r="B28" s="23"/>
      <c r="C28" s="23"/>
      <c r="D28" s="23"/>
      <c r="E28" s="23"/>
      <c r="F28" s="23"/>
      <c r="G28" s="23"/>
      <c r="H28" s="23"/>
    </row>
    <row r="29" customFormat="false" ht="15" hidden="false" customHeight="true" outlineLevel="0" collapsed="false">
      <c r="B29" s="23"/>
      <c r="C29" s="23"/>
      <c r="D29" s="23"/>
      <c r="E29" s="23"/>
      <c r="F29" s="23"/>
      <c r="G29" s="23"/>
      <c r="H29" s="23"/>
    </row>
    <row r="30" customFormat="false" ht="15" hidden="false" customHeight="true" outlineLevel="0" collapsed="false">
      <c r="B30" s="23"/>
      <c r="C30" s="23"/>
      <c r="D30" s="23"/>
      <c r="E30" s="23"/>
      <c r="F30" s="23"/>
      <c r="G30" s="23"/>
      <c r="H30" s="23"/>
    </row>
    <row r="32" customFormat="false" ht="15" hidden="false" customHeight="true" outlineLevel="0" collapsed="false">
      <c r="B32" s="24" t="s">
        <v>57</v>
      </c>
      <c r="C32" s="14"/>
      <c r="D32" s="14"/>
      <c r="E32" s="14"/>
      <c r="F32" s="14"/>
      <c r="G32" s="14"/>
      <c r="H32" s="14"/>
    </row>
    <row r="33" customFormat="false" ht="15" hidden="false" customHeight="true" outlineLevel="0" collapsed="false">
      <c r="B33" s="5" t="s">
        <v>58</v>
      </c>
      <c r="C33" s="9" t="n">
        <f aca="false">Assumptions!E13</f>
        <v>0.479018251780979</v>
      </c>
    </row>
    <row r="34" customFormat="false" ht="15" hidden="false" customHeight="true" outlineLevel="0" collapsed="false">
      <c r="B34" s="5" t="s">
        <v>59</v>
      </c>
      <c r="C34" s="15" t="n">
        <f aca="false">G7*C33</f>
        <v>1192.2916461456</v>
      </c>
    </row>
    <row r="35" customFormat="false" ht="15" hidden="false" customHeight="true" outlineLevel="0" collapsed="false">
      <c r="B35" s="5" t="s">
        <v>60</v>
      </c>
      <c r="C35" s="25" t="n">
        <f aca="false">C16/C34</f>
        <v>5.89801346070343</v>
      </c>
    </row>
    <row r="36" customFormat="false" ht="15" hidden="false" customHeight="true" outlineLevel="0" collapsed="false">
      <c r="B36" s="5" t="s">
        <v>61</v>
      </c>
      <c r="C36" s="25" t="n">
        <f aca="false">Comps!D7</f>
        <v>4.9</v>
      </c>
    </row>
    <row r="38" customFormat="false" ht="15.75" hidden="false" customHeight="true" outlineLevel="0" collapsed="false">
      <c r="B38" s="23" t="s">
        <v>62</v>
      </c>
      <c r="C38" s="23"/>
      <c r="D38" s="23"/>
      <c r="E38" s="23"/>
      <c r="F38" s="23"/>
      <c r="G38" s="23"/>
      <c r="H38" s="23"/>
    </row>
    <row r="39" customFormat="false" ht="15.75" hidden="false" customHeight="true" outlineLevel="0" collapsed="false">
      <c r="B39" s="23"/>
      <c r="C39" s="23"/>
      <c r="D39" s="23"/>
      <c r="E39" s="23"/>
      <c r="F39" s="23"/>
      <c r="G39" s="23"/>
      <c r="H39" s="23"/>
    </row>
    <row r="40" customFormat="false" ht="15.75" hidden="false" customHeight="true" outlineLevel="0" collapsed="false">
      <c r="B40" s="23"/>
      <c r="C40" s="23"/>
      <c r="D40" s="23"/>
      <c r="E40" s="23"/>
      <c r="F40" s="23"/>
      <c r="G40" s="23"/>
      <c r="H40" s="23"/>
    </row>
    <row r="41" customFormat="false" ht="15.75" hidden="false" customHeight="true" outlineLevel="0" collapsed="false">
      <c r="B41" s="23"/>
      <c r="C41" s="23"/>
      <c r="D41" s="23"/>
      <c r="E41" s="23"/>
      <c r="F41" s="23"/>
      <c r="G41" s="23"/>
      <c r="H41" s="23"/>
    </row>
  </sheetData>
  <mergeCells count="2">
    <mergeCell ref="B27:H30"/>
    <mergeCell ref="B38:H41"/>
  </mergeCells>
  <printOptions headings="false" gridLines="false" gridLinesSet="true" horizontalCentered="false" verticalCentered="false"/>
  <pageMargins left="0.25" right="0.25" top="0.4" bottom="0.4"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F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2" style="1" width="14"/>
    <col collapsed="false" customWidth="true" hidden="false" outlineLevel="0" max="7" min="3" style="1" width="12"/>
  </cols>
  <sheetData>
    <row r="2" customFormat="false" ht="17.25" hidden="false" customHeight="true" outlineLevel="0" collapsed="false">
      <c r="B2" s="2" t="s">
        <v>63</v>
      </c>
    </row>
    <row r="3" customFormat="false" ht="15" hidden="false" customHeight="true" outlineLevel="0" collapsed="false">
      <c r="B3" s="3" t="s">
        <v>64</v>
      </c>
    </row>
    <row r="5" customFormat="false" ht="15" hidden="false" customHeight="true" outlineLevel="0" collapsed="false">
      <c r="B5" s="24" t="s">
        <v>65</v>
      </c>
      <c r="C5" s="26" t="n">
        <v>0.02</v>
      </c>
      <c r="D5" s="26" t="n">
        <v>0.025</v>
      </c>
      <c r="E5" s="26" t="n">
        <v>0.03</v>
      </c>
      <c r="F5" s="26" t="n">
        <v>0.035</v>
      </c>
    </row>
    <row r="6" customFormat="false" ht="15" hidden="false" customHeight="true" outlineLevel="0" collapsed="false">
      <c r="B6" s="22" t="n">
        <v>0.095</v>
      </c>
      <c r="C6" s="10" t="n">
        <f aca="false">(SUMPRODUCT(DCF!$C$9:$G$9,1/(1+$B6)^DCF!$C$10:$G$10)+DCF!$G$9*(1+C$5)/($B6-C$5)/(1+$B6)^DCF!$G$10)*1000/DCF!$C$22</f>
        <v>69326.9782670004</v>
      </c>
      <c r="D6" s="10" t="n">
        <f aca="false">(SUMPRODUCT(DCF!$C$9:$G$9,1/(1+$B6)^DCF!$C$10:$G$10)+DCF!$G$9*(1+D$5)/($B6-D$5)/(1+$B6)^DCF!$G$10)*1000/DCF!$C$22</f>
        <v>73113.1674164576</v>
      </c>
      <c r="E6" s="10" t="n">
        <f aca="false">(SUMPRODUCT(DCF!$C$9:$G$9,1/(1+$B6)^DCF!$C$10:$G$10)+DCF!$G$9*(1+E$5)/($B6-E$5)/(1+$B6)^DCF!$G$10)*1000/DCF!$C$22</f>
        <v>77481.8472042929</v>
      </c>
      <c r="F6" s="10" t="n">
        <f aca="false">(SUMPRODUCT(DCF!$C$9:$G$9,1/(1+$B6)^DCF!$C$10:$G$10)+DCF!$G$9*(1+F$5)/($B6-F$5)/(1+$B6)^DCF!$G$10)*1000/DCF!$C$22</f>
        <v>82578.6402901007</v>
      </c>
    </row>
    <row r="7" customFormat="false" ht="15" hidden="false" customHeight="true" outlineLevel="0" collapsed="false">
      <c r="B7" s="22" t="n">
        <v>0.1</v>
      </c>
      <c r="C7" s="10" t="n">
        <f aca="false">(SUMPRODUCT(DCF!$C$9:$G$9,1/(1+$B7)^DCF!$C$10:$G$10)+DCF!$G$9*(1+C$5)/($B7-C$5)/(1+$B7)^DCF!$G$10)*1000/DCF!$C$22</f>
        <v>65083.8647974995</v>
      </c>
      <c r="D7" s="10" t="n">
        <f aca="false">(SUMPRODUCT(DCF!$C$9:$G$9,1/(1+$B7)^DCF!$C$10:$G$10)+DCF!$G$9*(1+D$5)/($B7-D$5)/(1+$B7)^DCF!$G$10)*1000/DCF!$C$22</f>
        <v>68344.3736120285</v>
      </c>
      <c r="E7" s="10" t="n">
        <f aca="false">(SUMPRODUCT(DCF!$C$9:$G$9,1/(1+$B7)^DCF!$C$10:$G$10)+DCF!$G$9*(1+E$5)/($B7-E$5)/(1+$B7)^DCF!$G$10)*1000/DCF!$C$22</f>
        <v>72070.6694000618</v>
      </c>
      <c r="F7" s="10" t="n">
        <f aca="false">(SUMPRODUCT(DCF!$C$9:$G$9,1/(1+$B7)^DCF!$C$10:$G$10)+DCF!$G$9*(1+F$5)/($B7-F$5)/(1+$B7)^DCF!$G$10)*1000/DCF!$C$22</f>
        <v>76370.2414631771</v>
      </c>
    </row>
    <row r="8" customFormat="false" ht="15" hidden="false" customHeight="true" outlineLevel="0" collapsed="false">
      <c r="B8" s="22" t="n">
        <v>0.105</v>
      </c>
      <c r="C8" s="10" t="n">
        <f aca="false">(SUMPRODUCT(DCF!$C$9:$G$9,1/(1+$B8)^DCF!$C$10:$G$10)+DCF!$G$9*(1+C$5)/($B8-C$5)/(1+$B8)^DCF!$G$10)*1000/DCF!$C$22</f>
        <v>61340.2968614125</v>
      </c>
      <c r="D8" s="10" t="n">
        <f aca="false">(SUMPRODUCT(DCF!$C$9:$G$9,1/(1+$B8)^DCF!$C$10:$G$10)+DCF!$G$9*(1+D$5)/($B8-D$5)/(1+$B8)^DCF!$G$10)*1000/DCF!$C$22</f>
        <v>64171.9114507745</v>
      </c>
      <c r="E8" s="10" t="n">
        <f aca="false">(SUMPRODUCT(DCF!$C$9:$G$9,1/(1+$B8)^DCF!$C$10:$G$10)+DCF!$G$9*(1+E$5)/($B8-E$5)/(1+$B8)^DCF!$G$10)*1000/DCF!$C$22</f>
        <v>67381.0746520514</v>
      </c>
      <c r="F8" s="10" t="n">
        <f aca="false">(SUMPRODUCT(DCF!$C$9:$G$9,1/(1+$B8)^DCF!$C$10:$G$10)+DCF!$G$9*(1+F$5)/($B8-F$5)/(1+$B8)^DCF!$G$10)*1000/DCF!$C$22</f>
        <v>71048.6897392251</v>
      </c>
    </row>
    <row r="9" customFormat="false" ht="15" hidden="false" customHeight="true" outlineLevel="0" collapsed="false">
      <c r="B9" s="22" t="n">
        <v>0.11</v>
      </c>
      <c r="C9" s="10" t="n">
        <f aca="false">(SUMPRODUCT(DCF!$C$9:$G$9,1/(1+$B9)^DCF!$C$10:$G$10)+DCF!$G$9*(1+C$5)/($B9-C$5)/(1+$B9)^DCF!$G$10)*1000/DCF!$C$22</f>
        <v>58013.0059706066</v>
      </c>
      <c r="D9" s="10" t="n">
        <f aca="false">(SUMPRODUCT(DCF!$C$9:$G$9,1/(1+$B9)^DCF!$C$10:$G$10)+DCF!$G$9*(1+D$5)/($B9-D$5)/(1+$B9)^DCF!$G$10)*1000/DCF!$C$22</f>
        <v>60490.5373635152</v>
      </c>
      <c r="E9" s="27" t="n">
        <f aca="false">(SUMPRODUCT(DCF!$C$9:$G$9,1/(1+$B9)^DCF!$C$10:$G$10)+DCF!$G$9*(1+E$5)/($B9-E$5)/(1+$B9)^DCF!$G$10)*1000/DCF!$C$22</f>
        <v>63277.7601805374</v>
      </c>
      <c r="F9" s="10" t="n">
        <f aca="false">(SUMPRODUCT(DCF!$C$9:$G$9,1/(1+$B9)^DCF!$C$10:$G$10)+DCF!$G$9*(1+F$5)/($B9-F$5)/(1+$B9)^DCF!$G$10)*1000/DCF!$C$22</f>
        <v>66436.6127064959</v>
      </c>
    </row>
    <row r="10" customFormat="false" ht="15" hidden="false" customHeight="true" outlineLevel="0" collapsed="false">
      <c r="B10" s="22" t="n">
        <v>0.115</v>
      </c>
      <c r="C10" s="10" t="n">
        <f aca="false">(SUMPRODUCT(DCF!$C$9:$G$9,1/(1+$B10)^DCF!$C$10:$G$10)+DCF!$G$9*(1+C$5)/($B10-C$5)/(1+$B10)^DCF!$G$10)*1000/DCF!$C$22</f>
        <v>55036.2541401443</v>
      </c>
      <c r="D10" s="10" t="n">
        <f aca="false">(SUMPRODUCT(DCF!$C$9:$G$9,1/(1+$B10)^DCF!$C$10:$G$10)+DCF!$G$9*(1+D$5)/($B10-D$5)/(1+$B10)^DCF!$G$10)*1000/DCF!$C$22</f>
        <v>57218.3954778092</v>
      </c>
      <c r="E10" s="10" t="n">
        <f aca="false">(SUMPRODUCT(DCF!$C$9:$G$9,1/(1+$B10)^DCF!$C$10:$G$10)+DCF!$G$9*(1+E$5)/($B10-E$5)/(1+$B10)^DCF!$G$10)*1000/DCF!$C$22</f>
        <v>59657.2593257877</v>
      </c>
      <c r="F10" s="10" t="n">
        <f aca="false">(SUMPRODUCT(DCF!$C$9:$G$9,1/(1+$B10)^DCF!$C$10:$G$10)+DCF!$G$9*(1+F$5)/($B10-F$5)/(1+$B10)^DCF!$G$10)*1000/DCF!$C$22</f>
        <v>62400.9811547635</v>
      </c>
    </row>
    <row r="11" customFormat="false" ht="15" hidden="false" customHeight="true" outlineLevel="0" collapsed="false">
      <c r="B11" s="22" t="n">
        <v>0.12</v>
      </c>
      <c r="C11" s="10" t="n">
        <f aca="false">(SUMPRODUCT(DCF!$C$9:$G$9,1/(1+$B11)^DCF!$C$10:$G$10)+DCF!$G$9*(1+C$5)/($B11-C$5)/(1+$B11)^DCF!$G$10)*1000/DCF!$C$22</f>
        <v>52357.4512535389</v>
      </c>
      <c r="D11" s="10" t="n">
        <f aca="false">(SUMPRODUCT(DCF!$C$9:$G$9,1/(1+$B11)^DCF!$C$10:$G$10)+DCF!$G$9*(1+D$5)/($B11-D$5)/(1+$B11)^DCF!$G$10)*1000/DCF!$C$22</f>
        <v>54290.8629537182</v>
      </c>
      <c r="E11" s="10" t="n">
        <f aca="false">(SUMPRODUCT(DCF!$C$9:$G$9,1/(1+$B11)^DCF!$C$10:$G$10)+DCF!$G$9*(1+E$5)/($B11-E$5)/(1+$B11)^DCF!$G$10)*1000/DCF!$C$22</f>
        <v>56439.0981761397</v>
      </c>
      <c r="F11" s="10" t="n">
        <f aca="false">(SUMPRODUCT(DCF!$C$9:$G$9,1/(1+$B11)^DCF!$C$10:$G$10)+DCF!$G$9*(1+F$5)/($B11-F$5)/(1+$B11)^DCF!$G$10)*1000/DCF!$C$22</f>
        <v>58840.0669541403</v>
      </c>
    </row>
    <row r="12" customFormat="false" ht="15" hidden="false" customHeight="true" outlineLevel="0" collapsed="false">
      <c r="B12" s="22" t="n">
        <v>0.125</v>
      </c>
      <c r="C12" s="10" t="n">
        <f aca="false">(SUMPRODUCT(DCF!$C$9:$G$9,1/(1+$B12)^DCF!$C$10:$G$10)+DCF!$G$9*(1+C$5)/($B12-C$5)/(1+$B12)^DCF!$G$10)*1000/DCF!$C$22</f>
        <v>49934.0246096731</v>
      </c>
      <c r="D12" s="10" t="n">
        <f aca="false">(SUMPRODUCT(DCF!$C$9:$G$9,1/(1+$B12)^DCF!$C$10:$G$10)+DCF!$G$9*(1+D$5)/($B12-D$5)/(1+$B12)^DCF!$G$10)*1000/DCF!$C$22</f>
        <v>51656.2417190892</v>
      </c>
      <c r="E12" s="10" t="n">
        <f aca="false">(SUMPRODUCT(DCF!$C$9:$G$9,1/(1+$B12)^DCF!$C$10:$G$10)+DCF!$G$9*(1+E$5)/($B12-E$5)/(1+$B12)^DCF!$G$10)*1000/DCF!$C$22</f>
        <v>53559.7448400229</v>
      </c>
      <c r="F12" s="10" t="n">
        <f aca="false">(SUMPRODUCT(DCF!$C$9:$G$9,1/(1+$B12)^DCF!$C$10:$G$10)+DCF!$G$9*(1+F$5)/($B12-F$5)/(1+$B12)^DCF!$G$10)*1000/DCF!$C$22</f>
        <v>55674.748307727</v>
      </c>
    </row>
    <row r="14" customFormat="false" ht="27.75" hidden="false" customHeight="true" outlineLevel="0" collapsed="false">
      <c r="B14" s="23" t="s">
        <v>66</v>
      </c>
      <c r="C14" s="23"/>
      <c r="D14" s="23"/>
      <c r="E14" s="23"/>
      <c r="F14" s="23"/>
    </row>
  </sheetData>
  <mergeCells count="1">
    <mergeCell ref="B14:F14"/>
  </mergeCells>
  <printOptions headings="false" gridLines="false" gridLinesSet="true" horizontalCentered="false" verticalCentered="false"/>
  <pageMargins left="0.25" right="0.25" top="0.4" bottom="0.4"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F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2" style="1" width="28"/>
    <col collapsed="false" customWidth="true" hidden="false" outlineLevel="0" max="3" min="3" style="1" width="16"/>
    <col collapsed="false" customWidth="true" hidden="false" outlineLevel="0" max="4" min="4" style="1" width="14"/>
    <col collapsed="false" customWidth="true" hidden="false" outlineLevel="0" max="5" min="5" style="1" width="46"/>
  </cols>
  <sheetData>
    <row r="2" customFormat="false" ht="17.25" hidden="false" customHeight="true" outlineLevel="0" collapsed="false">
      <c r="B2" s="2" t="s">
        <v>67</v>
      </c>
    </row>
    <row r="3" customFormat="false" ht="15" hidden="false" customHeight="true" outlineLevel="0" collapsed="false">
      <c r="B3" s="3" t="s">
        <v>68</v>
      </c>
    </row>
    <row r="5" customFormat="false" ht="15" hidden="false" customHeight="true" outlineLevel="0" collapsed="false">
      <c r="B5" s="24" t="s">
        <v>69</v>
      </c>
      <c r="C5" s="24" t="s">
        <v>70</v>
      </c>
      <c r="D5" s="24" t="s">
        <v>71</v>
      </c>
      <c r="E5" s="24" t="s">
        <v>72</v>
      </c>
    </row>
    <row r="6" customFormat="false" ht="15" hidden="false" customHeight="true" outlineLevel="0" collapsed="false">
      <c r="B6" s="5" t="s">
        <v>73</v>
      </c>
      <c r="C6" s="5" t="s">
        <v>74</v>
      </c>
      <c r="D6" s="28" t="n">
        <f aca="false">Assumptions!E10/Assumptions!E7</f>
        <v>4.88276161528441</v>
      </c>
      <c r="E6" s="5" t="s">
        <v>75</v>
      </c>
    </row>
    <row r="7" customFormat="false" ht="15" hidden="false" customHeight="true" outlineLevel="0" collapsed="false">
      <c r="B7" s="5" t="s">
        <v>76</v>
      </c>
      <c r="C7" s="5" t="s">
        <v>77</v>
      </c>
      <c r="D7" s="29" t="n">
        <v>4.9</v>
      </c>
      <c r="E7" s="5" t="s">
        <v>78</v>
      </c>
    </row>
    <row r="9" customFormat="false" ht="15" hidden="false" customHeight="true" outlineLevel="0" collapsed="false">
      <c r="B9" s="4" t="s">
        <v>79</v>
      </c>
    </row>
    <row r="10" customFormat="false" ht="15" hidden="false" customHeight="true" outlineLevel="0" collapsed="false">
      <c r="B10" s="30" t="s">
        <v>80</v>
      </c>
      <c r="C10" s="30"/>
      <c r="D10" s="30"/>
      <c r="E10" s="30"/>
      <c r="F10" s="30"/>
    </row>
    <row r="11" customFormat="false" ht="15" hidden="false" customHeight="true" outlineLevel="0" collapsed="false">
      <c r="B11" s="30"/>
      <c r="C11" s="30"/>
      <c r="D11" s="30"/>
      <c r="E11" s="30"/>
      <c r="F11" s="30"/>
    </row>
    <row r="12" customFormat="false" ht="15" hidden="false" customHeight="true" outlineLevel="0" collapsed="false">
      <c r="B12" s="30"/>
      <c r="C12" s="30"/>
      <c r="D12" s="30"/>
      <c r="E12" s="30"/>
      <c r="F12" s="30"/>
    </row>
  </sheetData>
  <mergeCells count="1">
    <mergeCell ref="B10:F12"/>
  </mergeCells>
  <printOptions headings="false" gridLines="false" gridLinesSet="true" horizontalCentered="false" verticalCentered="false"/>
  <pageMargins left="0.25" right="0.25" top="0.4" bottom="0.4"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E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2" style="1" width="58"/>
    <col collapsed="false" customWidth="true" hidden="false" outlineLevel="0" max="4" min="4" style="1" width="16"/>
  </cols>
  <sheetData>
    <row r="2" customFormat="false" ht="18" hidden="false" customHeight="true" outlineLevel="0" collapsed="false">
      <c r="B2" s="31" t="s">
        <v>81</v>
      </c>
    </row>
    <row r="5" customFormat="false" ht="15" hidden="false" customHeight="true" outlineLevel="0" collapsed="false">
      <c r="B5" s="4" t="s">
        <v>82</v>
      </c>
      <c r="D5" s="4" t="s">
        <v>83</v>
      </c>
    </row>
    <row r="6" customFormat="false" ht="27.75" hidden="false" customHeight="true" outlineLevel="0" collapsed="false">
      <c r="B6" s="32" t="s">
        <v>84</v>
      </c>
      <c r="D6" s="4" t="str">
        <f aca="false">IF(Assumptions!E24&lt;Assumptions!E23,"OK","A VERIFIER")</f>
        <v>OK</v>
      </c>
    </row>
    <row r="7" customFormat="false" ht="27.75" hidden="false" customHeight="true" outlineLevel="0" collapsed="false">
      <c r="B7" s="32" t="s">
        <v>85</v>
      </c>
      <c r="D7" s="4" t="str">
        <f aca="false">IF(MIN(Assumptions!C20:G20)&gt;0,"OK","A VERIFIER")</f>
        <v>OK</v>
      </c>
    </row>
    <row r="8" customFormat="false" ht="27.75" hidden="false" customHeight="true" outlineLevel="0" collapsed="false">
      <c r="B8" s="32" t="s">
        <v>86</v>
      </c>
      <c r="D8" s="4" t="str">
        <f aca="false">IF(ROUND(DCF!C14+DCF!C17-DCF!C19,1)=0,"OK","A VERIFIER")</f>
        <v>OK</v>
      </c>
    </row>
    <row r="9" customFormat="false" ht="27.75" hidden="false" customHeight="true" outlineLevel="0" collapsed="false">
      <c r="B9" s="32" t="s">
        <v>87</v>
      </c>
      <c r="D9" s="4" t="str">
        <f aca="false">IF(ROUND(Assumptions!E10*1000/Assumptions!E9-Assumptions!E15,0)=0,"OK","A VERIFIER")</f>
        <v>OK</v>
      </c>
    </row>
    <row r="10" customFormat="false" ht="27.75" hidden="false" customHeight="true" outlineLevel="0" collapsed="false">
      <c r="B10" s="32" t="s">
        <v>88</v>
      </c>
      <c r="D10" s="4" t="str">
        <f aca="false">IF(DCF!C19&gt;0,"OK","A VERIFIER")</f>
        <v>OK</v>
      </c>
    </row>
    <row r="12" customFormat="false" ht="15" hidden="false" customHeight="true" outlineLevel="0" collapsed="false">
      <c r="B12" s="4" t="s">
        <v>89</v>
      </c>
      <c r="C12" s="4" t="str">
        <f aca="false">IF(COUNTIF(D6:D13,"OK")=6,"Tous les contrôles sont OK","Au moins un contrôle à vérifier")</f>
        <v>Tous les contrôles sont OK</v>
      </c>
    </row>
    <row r="13" customFormat="false" ht="26.25" hidden="false" customHeight="true" outlineLevel="0" collapsed="false">
      <c r="B13" s="32" t="s">
        <v>90</v>
      </c>
      <c r="D13" s="4" t="str">
        <f aca="false">IF(AND(DCF!C35&gt;=0.5*DCF!C36,DCF!C35&lt;=2*DCF!C36),"OK","A VERIFIER")</f>
        <v>OK</v>
      </c>
    </row>
    <row r="15" customFormat="false" ht="15" hidden="false" customHeight="true" outlineLevel="0" collapsed="false">
      <c r="B15" s="33" t="s">
        <v>91</v>
      </c>
      <c r="C15" s="33"/>
      <c r="D15" s="33"/>
      <c r="E15" s="33"/>
    </row>
    <row r="16" customFormat="false" ht="15" hidden="false" customHeight="true" outlineLevel="0" collapsed="false">
      <c r="B16" s="33"/>
      <c r="C16" s="33"/>
      <c r="D16" s="33"/>
      <c r="E16" s="33"/>
    </row>
    <row r="17" customFormat="false" ht="15" hidden="false" customHeight="true" outlineLevel="0" collapsed="false">
      <c r="B17" s="33"/>
      <c r="C17" s="33"/>
      <c r="D17" s="33"/>
      <c r="E17" s="33"/>
    </row>
  </sheetData>
  <mergeCells count="1">
    <mergeCell ref="B15:E17"/>
  </mergeCells>
  <conditionalFormatting sqref="D6:D10">
    <cfRule type="expression" priority="2" aboveAverage="0" equalAverage="0" bottom="0" percent="0" rank="0" text="" dxfId="0">
      <formula>D6="OK"</formula>
    </cfRule>
    <cfRule type="expression" priority="3" aboveAverage="0" equalAverage="0" bottom="0" percent="0" rank="0" text="" dxfId="1">
      <formula>D6&lt;&gt;"OK"</formula>
    </cfRule>
  </conditionalFormatting>
  <printOptions headings="false" gridLines="false" gridLinesSet="true" horizontalCentered="false" verticalCentered="false"/>
  <pageMargins left="0.25" right="0.25" top="0.4" bottom="0.4"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2026-10-12T12:58:56Z</dcterms:created>
  <dc:creator>openpyxl</dc:creator>
  <dc:description/>
  <dc:language>en-US</dc:language>
  <cp:lastModifiedBy/>
  <dcterms:modified xsi:type="dcterms:W3CDTF">2026-10-13T20:32:59Z</dcterms:modified>
  <cp:revision>24</cp:revision>
  <dc:subject/>
  <dc:title/>
</cp:coreProperties>
</file>

<file path=docProps/custom.xml><?xml version="1.0" encoding="utf-8"?>
<Properties xmlns="http://schemas.openxmlformats.org/officeDocument/2006/custom-properties" xmlns:vt="http://schemas.openxmlformats.org/officeDocument/2006/docPropsVTypes"/>
</file>