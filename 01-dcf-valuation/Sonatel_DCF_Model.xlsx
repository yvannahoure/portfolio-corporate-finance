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Assumptions" sheetId="2" state="visible" r:id="rId4"/>
    <sheet name="DCF" sheetId="3" state="visible" r:id="rId5"/>
    <sheet name="Sensitivity" sheetId="4" state="visible" r:id="rId6"/>
    <sheet name="Comps" sheetId="5" state="visible" r:id="rId7"/>
    <sheet name="Checks" sheetId="6" state="visible" r:id="rId8"/>
  </sheets>
  <definedNames>
    <definedName function="false" hidden="false" localSheetId="1" name="_xlnm.Print_Area" vbProcedure="false">Assumptions!$A$1:$G$30</definedName>
    <definedName function="false" hidden="false" localSheetId="5" name="_xlnm.Print_Area" vbProcedure="false">Checks!$A$1:$E$17</definedName>
    <definedName function="false" hidden="false" localSheetId="4" name="_xlnm.Print_Area" vbProcedure="false">Comps!$A$1:$F$12</definedName>
    <definedName function="false" hidden="false" localSheetId="0" name="_xlnm.Print_Area" vbProcedure="false">Cover!$A$1:$K$16</definedName>
    <definedName function="false" hidden="false" localSheetId="2" name="_xlnm.Print_Area" vbProcedure="false">DCF!$A$1:$S$40</definedName>
    <definedName function="false" hidden="false" localSheetId="3" name="_xlnm.Print_Area" vbProcedure="false">Sensitivity!$A$1:$F$14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<sst xmlns="http://schemas.openxmlformats.org/spreadsheetml/2006/main" count="86" uniqueCount="85">
  <si>
    <t xml:space="preserve">Groupe Sonatel (BRVM : SNTS) - Modèle DCF et comparables</t>
  </si>
  <si>
    <t xml:space="preserve">Exercice personnel de valorisation - Yvann Ahoure</t>
  </si>
  <si>
    <t xml:space="preserve">Sommaire</t>
  </si>
  <si>
    <t xml:space="preserve">1. Assumptions</t>
  </si>
  <si>
    <t xml:space="preserve">2. DCF</t>
  </si>
  <si>
    <t xml:space="preserve">3. Sensitivity</t>
  </si>
  <si>
    <t xml:space="preserve">4. Comps</t>
  </si>
  <si>
    <t xml:space="preserve">5. Checks</t>
  </si>
  <si>
    <t xml:space="preserve">Avertissement</t>
  </si>
  <si>
    <t xml:space="preserve">Exercice personnel réalisé à partir de données publiques (sources citées dans l'onglet Assumptions), à but de démonstration méthodologique. Ne constitue pas une recommandation d'investissement. Le free cash-flow 2025 est utilisé comme proxy simplifié du FCFF ; la dette nette n'est pas disponible publiquement à cette maille et n'est donc pas déduite de la valeur d'entreprise.</t>
  </si>
  <si>
    <t xml:space="preserve">Assumptions - Groupe Sonatel</t>
  </si>
  <si>
    <t xml:space="preserve">Toutes les valeurs en Md FCFA sauf mention contraire</t>
  </si>
  <si>
    <t xml:space="preserve">Données de départ (FY2025, réel)</t>
  </si>
  <si>
    <t xml:space="preserve">Chiffre d'affaires 2025</t>
  </si>
  <si>
    <t xml:space="preserve">EBITDAaL 2025</t>
  </si>
  <si>
    <t xml:space="preserve">Free cash-flow 2025 (proxy FCFF)</t>
  </si>
  <si>
    <t xml:space="preserve">Nombre d'actions (millions)</t>
  </si>
  <si>
    <t xml:space="preserve">Capitalisation boursière (Md FCFA)</t>
  </si>
  <si>
    <t xml:space="preserve">Ratios dérivés</t>
  </si>
  <si>
    <t xml:space="preserve">Marge d'EBITDAaL 2025</t>
  </si>
  <si>
    <t xml:space="preserve">Marge de FCF 2025</t>
  </si>
  <si>
    <t xml:space="preserve">Cours de marché implicite (FCFA/action)</t>
  </si>
  <si>
    <t xml:space="preserve">Hypothèses de projection 2026-2030</t>
  </si>
  <si>
    <t xml:space="preserve">Croissance du chiffre d'affaires</t>
  </si>
  <si>
    <t xml:space="preserve">Marge de FCF (% du CA, maintenue constante)</t>
  </si>
  <si>
    <t xml:space="preserve">WACC et croissance terminale</t>
  </si>
  <si>
    <t xml:space="preserve">WACC retenu</t>
  </si>
  <si>
    <t xml:space="preserve">Croissance terminale (g)</t>
  </si>
  <si>
    <t xml:space="preserve">Sources</t>
  </si>
  <si>
    <t xml:space="preserve">- CA, EBITDAaL, FCF 2025 : communiqué Sonatel "Résultats consolidés au 31 décembre 2025" (sonatel.sn)</t>
  </si>
  <si>
    <t xml:space="preserve">- Capitalisation, nombre d'actions : Sikafinance, fiche société SNTS.sn</t>
  </si>
  <si>
    <t xml:space="preserve">- Comparable Maroc Telecom (EV/EBITDA) : Multiples.vc, 12 octobre 2026</t>
  </si>
  <si>
    <t xml:space="preserve">- Hypothèses de croissance 2026-2030, WACC et g terminale : estimations personnelles (non sourcées, posées pour l'exercice)</t>
  </si>
  <si>
    <t xml:space="preserve">DCF - Groupe Sonatel</t>
  </si>
  <si>
    <t xml:space="preserve">Md FCFA sauf mention contraire</t>
  </si>
  <si>
    <t xml:space="preserve">2026</t>
  </si>
  <si>
    <t xml:space="preserve">2027</t>
  </si>
  <si>
    <t xml:space="preserve">2028</t>
  </si>
  <si>
    <t xml:space="preserve">2029</t>
  </si>
  <si>
    <t xml:space="preserve">2030</t>
  </si>
  <si>
    <t xml:space="preserve">Croissance du CA</t>
  </si>
  <si>
    <t xml:space="preserve">Chiffre d'affaires</t>
  </si>
  <si>
    <t xml:space="preserve">Marge de FCF</t>
  </si>
  <si>
    <t xml:space="preserve">Free cash-flow (FCFF proxy)</t>
  </si>
  <si>
    <t xml:space="preserve">Période d'actualisation (n)</t>
  </si>
  <si>
    <t xml:space="preserve">Facteur d'actualisation</t>
  </si>
  <si>
    <t xml:space="preserve">VA des flux explicites</t>
  </si>
  <si>
    <t xml:space="preserve">Somme des VA des flux explicites (2026-2030)</t>
  </si>
  <si>
    <t xml:space="preserve">Valeur terminale (Gordon Growth, fin 2030)</t>
  </si>
  <si>
    <t xml:space="preserve">VA de la valeur terminale</t>
  </si>
  <si>
    <t xml:space="preserve">Valeur d'entreprise implicite (EV)</t>
  </si>
  <si>
    <t xml:space="preserve">Part de la valeur terminale dans l'EV</t>
  </si>
  <si>
    <t xml:space="preserve">VE implicite (DCF)</t>
  </si>
  <si>
    <t xml:space="preserve">Cours de marché, pour mémoire</t>
  </si>
  <si>
    <t xml:space="preserve">VE implicite par action (FCFA)</t>
  </si>
  <si>
    <t xml:space="preserve">Cours de marché, pour mémoire (FCFA)</t>
  </si>
  <si>
    <t xml:space="preserve">Lecture : la dette nette de Sonatel n'est pas publiée à une maille fiable (voir Assumptions/Cover). Les deux lignes ci-dessus comparent donc une VE implicite du DCF à un cours de marché (capitalisation), et non une valeur des fonds propres à une valeur des fonds propres : aucune conclusion de potentiel de hausse ou de baisse n'en est tirée.</t>
  </si>
  <si>
    <t xml:space="preserve">Sensibilité - VE implicite par action (FCFA, indicatif)</t>
  </si>
  <si>
    <t xml:space="preserve">Variation du WACC et de la croissance terminale (g)</t>
  </si>
  <si>
    <t xml:space="preserve">WACC \ g</t>
  </si>
  <si>
    <t xml:space="preserve">Lecture : la case en surbrillance correspond au scénario central (WACC 11,0 % / g 3,0 %) utilisé dans l'onglet DCF. Valeurs en VE par action (pas de dette nette disponible pour un pont vers les fonds propres).</t>
  </si>
  <si>
    <t xml:space="preserve">Comparables boursiers - Télécoms</t>
  </si>
  <si>
    <t xml:space="preserve">Multiples EV/EBITDA - recoupement avec le DCF</t>
  </si>
  <si>
    <t xml:space="preserve">Société</t>
  </si>
  <si>
    <t xml:space="preserve">Place de cotation</t>
  </si>
  <si>
    <t xml:space="preserve">EV/EBITDA (FY)</t>
  </si>
  <si>
    <t xml:space="preserve">Source</t>
  </si>
  <si>
    <t xml:space="preserve">Groupe Sonatel (implicite marché)</t>
  </si>
  <si>
    <t xml:space="preserve">BRVM (SNTS)</t>
  </si>
  <si>
    <t xml:space="preserve">Capitalisation / EBITDAaL 2025 (proxy EV, dette nette non disponible)</t>
  </si>
  <si>
    <t xml:space="preserve">Maroc Telecom</t>
  </si>
  <si>
    <t xml:space="preserve">Euronext / BVC</t>
  </si>
  <si>
    <t xml:space="preserve">Multiples.vc, dernier exercice (FY), 12 octobre 2026</t>
  </si>
  <si>
    <t xml:space="preserve">Lecture</t>
  </si>
  <si>
    <t xml:space="preserve">Le multiple implicite de marché sur Sonatel est proche de celui de Maroc Telecom, ce qui suggère une valorisation de marché cohérente avec les comparables régionaux, même si le DCF (onglet DCF) ressort au-dessus du cours actuel sous les hypothèses retenues.</t>
  </si>
  <si>
    <t xml:space="preserve">Contrôles de cohérence - Sonatel</t>
  </si>
  <si>
    <t xml:space="preserve">Contrôle</t>
  </si>
  <si>
    <t xml:space="preserve">Résultat</t>
  </si>
  <si>
    <t xml:space="preserve">Croissance terminale (g) &lt; WACC (sinon valeur terminale indéfinie)</t>
  </si>
  <si>
    <t xml:space="preserve">Toutes les marges de FCF projetées sont strictement positives</t>
  </si>
  <si>
    <t xml:space="preserve">EV recalculée (somme VA flux + VA valeur terminale) = DCF!C19</t>
  </si>
  <si>
    <t xml:space="preserve">Cours implicite de marché cohérent (capitalisation × 1000 / actions = Assumptions!E15)</t>
  </si>
  <si>
    <t xml:space="preserve">Valeur d'entreprise implicite positive</t>
  </si>
  <si>
    <t xml:space="preserve">Synthèse</t>
  </si>
  <si>
    <t xml:space="preserve">Note : ces contrôles vérifient la cohérence interne du modèle (pas d'erreur de construction), pas la justesse des hypothèses elles-mêmes.</t>
  </si>
</sst>
</file>

<file path=xl/styles.xml><?xml version="1.0" encoding="utf-8"?>
<styleSheet xmlns="http://schemas.openxmlformats.org/spreadsheetml/2006/main">
  <numFmts count="9">
    <numFmt numFmtId="164" formatCode="General"/>
    <numFmt numFmtId="165" formatCode="#,##0.0;\(#,##0.0\);\-"/>
    <numFmt numFmtId="166" formatCode="#,##0;\(#,##0\);\-"/>
    <numFmt numFmtId="167" formatCode="0.0%;\(0.0%\);\-"/>
    <numFmt numFmtId="168" formatCode="0"/>
    <numFmt numFmtId="169" formatCode="0.000"/>
    <numFmt numFmtId="170" formatCode="#,##0&quot; FCFA&quot;"/>
    <numFmt numFmtId="171" formatCode="#,##0"/>
    <numFmt numFmtId="172" formatCode="0.00\x;\(0.00&quot;x)&quot;;\-"/>
  </numFmts>
  <fonts count="1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color rgb="FF666666"/>
      <name val="Arial"/>
      <family val="0"/>
      <charset val="1"/>
    </font>
    <font>
      <b val="true"/>
      <sz val="10"/>
      <name val="Arial"/>
      <family val="0"/>
      <charset val="1"/>
    </font>
    <font>
      <sz val="11"/>
      <color theme="1"/>
      <name val="Arial"/>
      <family val="0"/>
      <charset val="1"/>
    </font>
    <font>
      <sz val="10"/>
      <color rgb="FF0000FF"/>
      <name val="Arial"/>
      <family val="0"/>
      <charset val="1"/>
    </font>
    <font>
      <sz val="9"/>
      <color rgb="FF666666"/>
      <name val="Arial"/>
      <family val="0"/>
      <charset val="1"/>
    </font>
    <font>
      <b val="true"/>
      <sz val="10"/>
      <color rgb="FFFFFFFF"/>
      <name val="Arial"/>
      <family val="0"/>
      <charset val="1"/>
    </font>
    <font>
      <i val="true"/>
      <sz val="9"/>
      <color rgb="FF7F7F7F"/>
      <name val="Arial"/>
      <family val="0"/>
      <charset val="1"/>
    </font>
    <font>
      <b val="true"/>
      <sz val="12"/>
      <color rgb="FF0F6B5C"/>
      <name val="Arial"/>
      <family val="0"/>
      <charset val="1"/>
    </font>
    <font>
      <i val="true"/>
      <sz val="8"/>
      <color rgb="FF7F7F7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0"/>
      <color rgb="FF0F6B5C"/>
      <name val="Arial"/>
      <family val="0"/>
      <charset val="1"/>
    </font>
    <font>
      <b val="true"/>
      <sz val="15"/>
      <color rgb="FF1F3864"/>
      <name val="Arial"/>
      <family val="0"/>
      <charset val="1"/>
    </font>
  </fonts>
  <fills count="4">
    <fill>
      <patternFill patternType="none"/>
    </fill>
    <fill>
      <patternFill patternType="gray125"/>
    </fill>
    <fill>
      <patternFill patternType="solid">
        <fgColor rgb="FFFFFF00"/>
        <bgColor rgb="FFFFFF00"/>
      </patternFill>
    </fill>
    <fill>
      <patternFill patternType="solid">
        <fgColor rgb="FF1F3864"/>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true" applyAlignment="true" applyProtection="true">
      <alignment horizontal="general" vertical="top" textRotation="0" wrapText="true" indent="0" shrinkToFit="false"/>
      <protection locked="true" hidden="false"/>
    </xf>
    <xf numFmtId="165" fontId="8" fillId="2" borderId="0" xfId="0" applyFont="true" applyBorder="false" applyAlignment="true" applyProtection="true">
      <alignment horizontal="general" vertical="bottom" textRotation="0" wrapText="false" indent="0" shrinkToFit="false"/>
      <protection locked="true" hidden="false"/>
    </xf>
    <xf numFmtId="166" fontId="8" fillId="2" borderId="0" xfId="0" applyFont="true" applyBorder="false" applyAlignment="true" applyProtection="true">
      <alignment horizontal="general" vertical="bottom" textRotation="0" wrapText="false" indent="0" shrinkToFit="false"/>
      <protection locked="true" hidden="false"/>
    </xf>
    <xf numFmtId="167" fontId="7" fillId="0" borderId="0" xfId="0" applyFont="true" applyBorder="false" applyAlignment="true" applyProtection="true">
      <alignment horizontal="general" vertical="bottom" textRotation="0" wrapText="false" indent="0" shrinkToFit="false"/>
      <protection locked="true" hidden="false"/>
    </xf>
    <xf numFmtId="166" fontId="7" fillId="0" borderId="0" xfId="0" applyFont="true" applyBorder="false" applyAlignment="true" applyProtection="true">
      <alignment horizontal="general" vertical="bottom" textRotation="0" wrapText="false" indent="0" shrinkToFit="false"/>
      <protection locked="true" hidden="false"/>
    </xf>
    <xf numFmtId="168" fontId="6" fillId="0" borderId="0" xfId="0" applyFont="true" applyBorder="false" applyAlignment="true" applyProtection="true">
      <alignment horizontal="general" vertical="bottom" textRotation="0" wrapText="false" indent="0" shrinkToFit="false"/>
      <protection locked="true" hidden="false"/>
    </xf>
    <xf numFmtId="167" fontId="8" fillId="2"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0" fillId="3" borderId="0" xfId="0" applyFont="true" applyBorder="false" applyAlignment="true" applyProtection="true">
      <alignment horizontal="center" vertical="bottom" textRotation="0" wrapText="false" indent="0" shrinkToFit="false"/>
      <protection locked="true" hidden="false"/>
    </xf>
    <xf numFmtId="165" fontId="7" fillId="0" borderId="0" xfId="0" applyFont="true" applyBorder="false" applyAlignment="true" applyProtection="true">
      <alignment horizontal="general" vertical="bottom" textRotation="0" wrapText="false" indent="0" shrinkToFit="false"/>
      <protection locked="true" hidden="false"/>
    </xf>
    <xf numFmtId="165" fontId="6" fillId="0" borderId="0" xfId="0" applyFont="true" applyBorder="false" applyAlignment="true" applyProtection="true">
      <alignment horizontal="general" vertical="bottom" textRotation="0" wrapText="false" indent="0" shrinkToFit="false"/>
      <protection locked="true" hidden="false"/>
    </xf>
    <xf numFmtId="168" fontId="7" fillId="0" borderId="0" xfId="0" applyFont="true" applyBorder="false" applyAlignment="true" applyProtection="true">
      <alignment horizontal="general" vertical="bottom" textRotation="0" wrapText="false" indent="0" shrinkToFit="false"/>
      <protection locked="true" hidden="false"/>
    </xf>
    <xf numFmtId="169" fontId="7"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70" fontId="11" fillId="0" borderId="0" xfId="0" applyFont="true" applyBorder="false" applyAlignment="true" applyProtection="true">
      <alignment horizontal="general" vertical="bottom" textRotation="0" wrapText="false" indent="0" shrinkToFit="false"/>
      <protection locked="true" hidden="false"/>
    </xf>
    <xf numFmtId="166" fontId="12" fillId="0" borderId="0" xfId="0" applyFont="true" applyBorder="false" applyAlignment="true" applyProtection="true">
      <alignment horizontal="general" vertical="bottom" textRotation="0" wrapText="false" indent="0" shrinkToFit="false"/>
      <protection locked="true" hidden="false"/>
    </xf>
    <xf numFmtId="167" fontId="6"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true" applyAlignment="true" applyProtection="true">
      <alignment horizontal="left" vertical="top" textRotation="0" wrapText="true" indent="0" shrinkToFit="false"/>
      <protection locked="true" hidden="false"/>
    </xf>
    <xf numFmtId="164" fontId="10" fillId="3" borderId="0" xfId="0" applyFont="true" applyBorder="false" applyAlignment="true" applyProtection="true">
      <alignment horizontal="general" vertical="bottom" textRotation="0" wrapText="false" indent="0" shrinkToFit="false"/>
      <protection locked="true" hidden="false"/>
    </xf>
    <xf numFmtId="167" fontId="10" fillId="3" borderId="0" xfId="0" applyFont="true" applyBorder="false" applyAlignment="true" applyProtection="true">
      <alignment horizontal="center" vertical="bottom" textRotation="0" wrapText="false" indent="0" shrinkToFit="false"/>
      <protection locked="true" hidden="false"/>
    </xf>
    <xf numFmtId="166" fontId="17" fillId="2" borderId="0" xfId="0" applyFont="true" applyBorder="false" applyAlignment="true" applyProtection="true">
      <alignment horizontal="general" vertical="bottom" textRotation="0" wrapText="false" indent="0" shrinkToFit="false"/>
      <protection locked="true" hidden="false"/>
    </xf>
    <xf numFmtId="172" fontId="17" fillId="0" borderId="0" xfId="0" applyFont="true" applyBorder="false" applyAlignment="true" applyProtection="true">
      <alignment horizontal="general" vertical="bottom" textRotation="0" wrapText="false" indent="0" shrinkToFit="false"/>
      <protection locked="true" hidden="false"/>
    </xf>
    <xf numFmtId="172" fontId="8"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tru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top" textRotation="0" wrapText="true" indent="0" shrinkToFit="false"/>
      <protection locked="true" hidden="false"/>
    </xf>
    <xf numFmtId="164" fontId="13" fillId="0" borderId="0" xfId="0" applyFont="true" applyBorder="true" applyAlignment="true" applyProtection="tru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2E7D32"/>
      </font>
      <fill>
        <patternFill>
          <bgColor rgb="FFE2F0D9"/>
        </patternFill>
      </fill>
    </dxf>
    <dxf>
      <font>
        <name val="Arial"/>
        <charset val="1"/>
        <family val="0"/>
        <b val="1"/>
        <color rgb="FFC62828"/>
      </font>
      <fill>
        <patternFill>
          <bgColor rgb="FFFCE4E4"/>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F6B5C"/>
      <rgbColor rgb="FFB3B3B3"/>
      <rgbColor rgb="FF7F7F7F"/>
      <rgbColor rgb="FF9999FF"/>
      <rgbColor rgb="FF993366"/>
      <rgbColor rgb="FFFCE4E4"/>
      <rgbColor rgb="FFE0E0E0"/>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F3864"/>
      <rgbColor rgb="FF2E7D32"/>
      <rgbColor rgb="FF003300"/>
      <rgbColor rgb="FF333300"/>
      <rgbColor rgb="FFC6282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Chiffre d'affaires projeté 2026-2030 (Md FCFA)</a:t>
            </a:r>
          </a:p>
        </c:rich>
      </c:tx>
      <c:overlay val="0"/>
      <c:spPr>
        <a:noFill/>
        <a:ln w="0">
          <a:noFill/>
        </a:ln>
      </c:spPr>
    </c:title>
    <c:autoTitleDeleted val="0"/>
    <c:plotArea>
      <c:barChart>
        <c:barDir val="col"/>
        <c:grouping val="clustered"/>
        <c:varyColors val="0"/>
        <c:ser>
          <c:idx val="0"/>
          <c:order val="0"/>
          <c:tx>
            <c:strRef>
              <c:f>DCF!B7</c:f>
              <c:strCache>
                <c:ptCount val="1"/>
                <c:pt idx="0">
                  <c:v>Chiffre d'affaires</c:v>
                </c:pt>
              </c:strCache>
            </c:strRef>
          </c:tx>
          <c:spPr>
            <a:solidFill>
              <a:srgbClr val="1f3864"/>
            </a:solidFill>
            <a:ln w="0">
              <a:solidFill>
                <a:srgbClr val="1f3864"/>
              </a:solidFill>
            </a:ln>
          </c:spPr>
          <c:invertIfNegative val="0"/>
          <c:dLbls>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DCF!$C$5:$G$5</c:f>
              <c:strCache>
                <c:ptCount val="5"/>
                <c:pt idx="0">
                  <c:v>2026</c:v>
                </c:pt>
                <c:pt idx="1">
                  <c:v>2027</c:v>
                </c:pt>
                <c:pt idx="2">
                  <c:v>2028</c:v>
                </c:pt>
                <c:pt idx="3">
                  <c:v>2029</c:v>
                </c:pt>
                <c:pt idx="4">
                  <c:v>2030</c:v>
                </c:pt>
              </c:strCache>
            </c:strRef>
          </c:cat>
          <c:val>
            <c:numRef>
              <c:f>DCF!$C$7:$G$7</c:f>
              <c:numCache>
                <c:formatCode>#,##0.0;\(#,##0.0\);\-</c:formatCode>
                <c:ptCount val="5"/>
                <c:pt idx="0">
                  <c:v>2057.717</c:v>
                </c:pt>
                <c:pt idx="1">
                  <c:v>2181.18002</c:v>
                </c:pt>
                <c:pt idx="2">
                  <c:v>2290.239021</c:v>
                </c:pt>
                <c:pt idx="3">
                  <c:v>2393.299776945</c:v>
                </c:pt>
                <c:pt idx="4">
                  <c:v>2489.0317680228</c:v>
                </c:pt>
              </c:numCache>
            </c:numRef>
          </c:val>
        </c:ser>
        <c:gapWidth val="150"/>
        <c:overlap val="0"/>
        <c:axId val="50648925"/>
        <c:axId val="91744816"/>
      </c:barChart>
      <c:catAx>
        <c:axId val="50648925"/>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91744816"/>
        <c:crosses val="autoZero"/>
        <c:auto val="1"/>
        <c:lblAlgn val="ctr"/>
        <c:lblOffset val="100"/>
        <c:noMultiLvlLbl val="0"/>
      </c:catAx>
      <c:valAx>
        <c:axId val="91744816"/>
        <c:scaling>
          <c:orientation val="minMax"/>
        </c:scaling>
        <c:delete val="0"/>
        <c:axPos val="l"/>
        <c:majorGridlines>
          <c:spPr>
            <a:ln w="9360">
              <a:solidFill>
                <a:srgbClr val="e0e0e0"/>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Md FCFA</a:t>
                </a:r>
              </a:p>
            </c:rich>
          </c:tx>
          <c:overlay val="0"/>
          <c:spPr>
            <a:noFill/>
            <a:ln w="0">
              <a:noFill/>
            </a:ln>
          </c:spPr>
        </c:title>
        <c:numFmt formatCode="#,##0.0;\(#,##0.0\);\-"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5064892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Valeur implicite par action : DCF vs marché (FCFA)</a:t>
            </a:r>
          </a:p>
        </c:rich>
      </c:tx>
      <c:overlay val="0"/>
      <c:spPr>
        <a:noFill/>
        <a:ln w="0">
          <a:noFill/>
        </a:ln>
      </c:spPr>
    </c:title>
    <c:autoTitleDeleted val="0"/>
    <c:plotArea>
      <c:barChart>
        <c:barDir val="bar"/>
        <c:grouping val="clustered"/>
        <c:varyColors val="0"/>
        <c:ser>
          <c:idx val="0"/>
          <c:order val="0"/>
          <c:spPr>
            <a:solidFill>
              <a:srgbClr val="1f3864"/>
            </a:solidFill>
            <a:ln w="0">
              <a:solidFill>
                <a:srgbClr val="1f3864"/>
              </a:solidFill>
            </a:ln>
          </c:spPr>
          <c:invertIfNegative val="0"/>
          <c:dLbls>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DCF!$I$20:$I$21</c:f>
              <c:strCache>
                <c:ptCount val="2"/>
                <c:pt idx="0">
                  <c:v>VE implicite (DCF)</c:v>
                </c:pt>
                <c:pt idx="1">
                  <c:v>Cours de marché, pour mémoire</c:v>
                </c:pt>
              </c:strCache>
            </c:strRef>
          </c:cat>
          <c:val>
            <c:numRef>
              <c:f>DCF!$J$20:$J$21</c:f>
              <c:numCache>
                <c:formatCode>#,##0" FCFA"</c:formatCode>
                <c:ptCount val="2"/>
                <c:pt idx="0">
                  <c:v>60060.5920286662</c:v>
                </c:pt>
                <c:pt idx="1">
                  <c:v>44980</c:v>
                </c:pt>
              </c:numCache>
            </c:numRef>
          </c:val>
        </c:ser>
        <c:gapWidth val="150"/>
        <c:overlap val="0"/>
        <c:axId val="41304291"/>
        <c:axId val="78075433"/>
      </c:barChart>
      <c:catAx>
        <c:axId val="41304291"/>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78075433"/>
        <c:crosses val="autoZero"/>
        <c:auto val="1"/>
        <c:lblAlgn val="ctr"/>
        <c:lblOffset val="100"/>
        <c:noMultiLvlLbl val="0"/>
      </c:catAx>
      <c:valAx>
        <c:axId val="78075433"/>
        <c:scaling>
          <c:orientation val="minMax"/>
        </c:scaling>
        <c:delete val="0"/>
        <c:axPos val="l"/>
        <c:majorGridlines>
          <c:spPr>
            <a:ln w="9360">
              <a:solidFill>
                <a:srgbClr val="e0e0e0"/>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FCFA/action</a:t>
                </a:r>
              </a:p>
            </c:rich>
          </c:tx>
          <c:overlay val="0"/>
          <c:spPr>
            <a:noFill/>
            <a:ln w="0">
              <a:noFill/>
            </a:ln>
          </c:spPr>
        </c:title>
        <c:numFmt formatCode="#,##0&quot; FCFA&quot;"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4130429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0</xdr:colOff>
      <xdr:row>4</xdr:row>
      <xdr:rowOff>0</xdr:rowOff>
    </xdr:from>
    <xdr:to>
      <xdr:col>17</xdr:col>
      <xdr:colOff>252000</xdr:colOff>
      <xdr:row>19</xdr:row>
      <xdr:rowOff>17640</xdr:rowOff>
    </xdr:to>
    <xdr:graphicFrame>
      <xdr:nvGraphicFramePr>
        <xdr:cNvPr id="0" name="Chart 1"/>
        <xdr:cNvGraphicFramePr/>
      </xdr:nvGraphicFramePr>
      <xdr:xfrm>
        <a:off x="9046800" y="790560"/>
        <a:ext cx="6342480" cy="2875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22</xdr:row>
      <xdr:rowOff>0</xdr:rowOff>
    </xdr:from>
    <xdr:to>
      <xdr:col>17</xdr:col>
      <xdr:colOff>252000</xdr:colOff>
      <xdr:row>37</xdr:row>
      <xdr:rowOff>17640</xdr:rowOff>
    </xdr:to>
    <xdr:graphicFrame>
      <xdr:nvGraphicFramePr>
        <xdr:cNvPr id="1" name="Chart 2"/>
        <xdr:cNvGraphicFramePr/>
      </xdr:nvGraphicFramePr>
      <xdr:xfrm>
        <a:off x="9046800" y="4219560"/>
        <a:ext cx="6342480" cy="28753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K1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14"/>
    <col collapsed="false" customWidth="true" hidden="false" outlineLevel="0" max="11" min="3" style="1" width="12"/>
  </cols>
  <sheetData>
    <row r="2" customFormat="false" ht="17.25" hidden="false" customHeight="true" outlineLevel="0" collapsed="false">
      <c r="B2" s="2" t="s">
        <v>0</v>
      </c>
    </row>
    <row r="3" customFormat="false" ht="15" hidden="false" customHeight="true" outlineLevel="0" collapsed="false">
      <c r="B3" s="3" t="s">
        <v>1</v>
      </c>
    </row>
    <row r="5" customFormat="false" ht="15" hidden="false" customHeight="true" outlineLevel="0" collapsed="false">
      <c r="B5" s="4" t="s">
        <v>2</v>
      </c>
    </row>
    <row r="6" customFormat="false" ht="15" hidden="false" customHeight="true" outlineLevel="0" collapsed="false">
      <c r="B6" s="5" t="s">
        <v>3</v>
      </c>
    </row>
    <row r="7" customFormat="false" ht="15" hidden="false" customHeight="true" outlineLevel="0" collapsed="false">
      <c r="B7" s="5" t="s">
        <v>4</v>
      </c>
    </row>
    <row r="8" customFormat="false" ht="15" hidden="false" customHeight="true" outlineLevel="0" collapsed="false">
      <c r="B8" s="5" t="s">
        <v>5</v>
      </c>
    </row>
    <row r="9" customFormat="false" ht="15" hidden="false" customHeight="true" outlineLevel="0" collapsed="false">
      <c r="B9" s="5" t="s">
        <v>6</v>
      </c>
    </row>
    <row r="10" customFormat="false" ht="15" hidden="false" customHeight="true" outlineLevel="0" collapsed="false">
      <c r="B10" s="5" t="s">
        <v>7</v>
      </c>
    </row>
    <row r="11" customFormat="false" ht="15" hidden="false" customHeight="true" outlineLevel="0" collapsed="false">
      <c r="B11" s="4" t="s">
        <v>8</v>
      </c>
    </row>
    <row r="12" customFormat="false" ht="15" hidden="false" customHeight="true" outlineLevel="0" collapsed="false">
      <c r="B12" s="6" t="s">
        <v>9</v>
      </c>
      <c r="C12" s="6"/>
      <c r="D12" s="6"/>
      <c r="E12" s="6"/>
      <c r="F12" s="6"/>
      <c r="G12" s="6"/>
      <c r="H12" s="6"/>
      <c r="I12" s="6"/>
      <c r="J12" s="6"/>
      <c r="K12" s="6"/>
    </row>
    <row r="13" customFormat="false" ht="15" hidden="false" customHeight="true" outlineLevel="0" collapsed="false">
      <c r="B13" s="6"/>
      <c r="C13" s="6"/>
      <c r="D13" s="6"/>
      <c r="E13" s="6"/>
      <c r="F13" s="6"/>
      <c r="G13" s="6"/>
      <c r="H13" s="6"/>
      <c r="I13" s="6"/>
      <c r="J13" s="6"/>
      <c r="K13" s="6"/>
    </row>
    <row r="14" customFormat="false" ht="15" hidden="false" customHeight="true" outlineLevel="0" collapsed="false">
      <c r="B14" s="6"/>
      <c r="C14" s="6"/>
      <c r="D14" s="6"/>
      <c r="E14" s="6"/>
      <c r="F14" s="6"/>
      <c r="G14" s="6"/>
      <c r="H14" s="6"/>
      <c r="I14" s="6"/>
      <c r="J14" s="6"/>
      <c r="K14" s="6"/>
    </row>
    <row r="15" customFormat="false" ht="15" hidden="false" customHeight="true" outlineLevel="0" collapsed="false">
      <c r="B15" s="6"/>
      <c r="C15" s="6"/>
      <c r="D15" s="6"/>
      <c r="E15" s="6"/>
      <c r="F15" s="6"/>
      <c r="G15" s="6"/>
      <c r="H15" s="6"/>
      <c r="I15" s="6"/>
      <c r="J15" s="6"/>
      <c r="K15" s="6"/>
    </row>
    <row r="16" customFormat="false" ht="15" hidden="false" customHeight="true" outlineLevel="0" collapsed="false">
      <c r="B16" s="6"/>
      <c r="C16" s="6"/>
      <c r="D16" s="6"/>
      <c r="E16" s="6"/>
      <c r="F16" s="6"/>
      <c r="G16" s="6"/>
      <c r="H16" s="6"/>
      <c r="I16" s="6"/>
      <c r="J16" s="6"/>
      <c r="K16" s="6"/>
    </row>
  </sheetData>
  <mergeCells count="1">
    <mergeCell ref="B12:K16"/>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42"/>
    <col collapsed="false" customWidth="true" hidden="false" outlineLevel="0" max="7" min="3" style="1" width="13"/>
  </cols>
  <sheetData>
    <row r="2" customFormat="false" ht="17.25" hidden="false" customHeight="true" outlineLevel="0" collapsed="false">
      <c r="B2" s="2" t="s">
        <v>10</v>
      </c>
    </row>
    <row r="3" customFormat="false" ht="15" hidden="false" customHeight="true" outlineLevel="0" collapsed="false">
      <c r="B3" s="3" t="s">
        <v>11</v>
      </c>
    </row>
    <row r="5" customFormat="false" ht="15" hidden="false" customHeight="true" outlineLevel="0" collapsed="false">
      <c r="B5" s="5" t="s">
        <v>12</v>
      </c>
    </row>
    <row r="6" customFormat="false" ht="15" hidden="false" customHeight="true" outlineLevel="0" collapsed="false">
      <c r="B6" s="5" t="s">
        <v>13</v>
      </c>
      <c r="E6" s="7" t="n">
        <v>1923.1</v>
      </c>
    </row>
    <row r="7" customFormat="false" ht="15" hidden="false" customHeight="true" outlineLevel="0" collapsed="false">
      <c r="B7" s="5" t="s">
        <v>14</v>
      </c>
      <c r="E7" s="7" t="n">
        <v>921.2</v>
      </c>
    </row>
    <row r="8" customFormat="false" ht="15" hidden="false" customHeight="true" outlineLevel="0" collapsed="false">
      <c r="B8" s="5" t="s">
        <v>15</v>
      </c>
      <c r="E8" s="7" t="n">
        <v>422</v>
      </c>
    </row>
    <row r="9" customFormat="false" ht="15" hidden="false" customHeight="true" outlineLevel="0" collapsed="false">
      <c r="B9" s="5" t="s">
        <v>16</v>
      </c>
      <c r="E9" s="8" t="n">
        <v>100</v>
      </c>
    </row>
    <row r="10" customFormat="false" ht="15" hidden="false" customHeight="true" outlineLevel="0" collapsed="false">
      <c r="B10" s="5" t="s">
        <v>17</v>
      </c>
      <c r="E10" s="7" t="n">
        <v>4498</v>
      </c>
    </row>
    <row r="12" customFormat="false" ht="15" hidden="false" customHeight="true" outlineLevel="0" collapsed="false">
      <c r="B12" s="4" t="s">
        <v>18</v>
      </c>
    </row>
    <row r="13" customFormat="false" ht="15" hidden="false" customHeight="true" outlineLevel="0" collapsed="false">
      <c r="B13" s="5" t="s">
        <v>19</v>
      </c>
      <c r="E13" s="9" t="n">
        <f aca="false">E7/E6</f>
        <v>0.479018251780979</v>
      </c>
    </row>
    <row r="14" customFormat="false" ht="15" hidden="false" customHeight="true" outlineLevel="0" collapsed="false">
      <c r="B14" s="5" t="s">
        <v>20</v>
      </c>
      <c r="E14" s="9" t="n">
        <f aca="false">E8/E6</f>
        <v>0.219437366751599</v>
      </c>
    </row>
    <row r="15" customFormat="false" ht="15" hidden="false" customHeight="true" outlineLevel="0" collapsed="false">
      <c r="B15" s="5" t="s">
        <v>21</v>
      </c>
      <c r="E15" s="10" t="n">
        <f aca="false">E10*1000/E9</f>
        <v>44980</v>
      </c>
    </row>
    <row r="17" customFormat="false" ht="15" hidden="false" customHeight="true" outlineLevel="0" collapsed="false">
      <c r="B17" s="4" t="s">
        <v>22</v>
      </c>
    </row>
    <row r="18" customFormat="false" ht="15" hidden="false" customHeight="true" outlineLevel="0" collapsed="false">
      <c r="C18" s="11" t="n">
        <v>2026</v>
      </c>
      <c r="D18" s="11" t="n">
        <v>2027</v>
      </c>
      <c r="E18" s="11" t="n">
        <v>2028</v>
      </c>
      <c r="F18" s="11" t="n">
        <v>2029</v>
      </c>
      <c r="G18" s="11" t="n">
        <v>2030</v>
      </c>
    </row>
    <row r="19" customFormat="false" ht="15" hidden="false" customHeight="true" outlineLevel="0" collapsed="false">
      <c r="B19" s="5" t="s">
        <v>23</v>
      </c>
      <c r="C19" s="12" t="n">
        <v>0.07</v>
      </c>
      <c r="D19" s="12" t="n">
        <v>0.06</v>
      </c>
      <c r="E19" s="12" t="n">
        <v>0.05</v>
      </c>
      <c r="F19" s="12" t="n">
        <v>0.045</v>
      </c>
      <c r="G19" s="12" t="n">
        <v>0.04</v>
      </c>
    </row>
    <row r="20" customFormat="false" ht="15" hidden="false" customHeight="true" outlineLevel="0" collapsed="false">
      <c r="B20" s="5" t="s">
        <v>24</v>
      </c>
      <c r="C20" s="9" t="n">
        <f aca="false">$E$14</f>
        <v>0.219437366751599</v>
      </c>
      <c r="D20" s="9" t="n">
        <f aca="false">C20</f>
        <v>0.219437366751599</v>
      </c>
      <c r="E20" s="9" t="n">
        <f aca="false">C20</f>
        <v>0.219437366751599</v>
      </c>
      <c r="F20" s="9" t="n">
        <f aca="false">C20</f>
        <v>0.219437366751599</v>
      </c>
      <c r="G20" s="9" t="n">
        <f aca="false">C20</f>
        <v>0.219437366751599</v>
      </c>
    </row>
    <row r="22" customFormat="false" ht="15" hidden="false" customHeight="true" outlineLevel="0" collapsed="false">
      <c r="B22" s="4" t="s">
        <v>25</v>
      </c>
    </row>
    <row r="23" customFormat="false" ht="15" hidden="false" customHeight="true" outlineLevel="0" collapsed="false">
      <c r="B23" s="5" t="s">
        <v>26</v>
      </c>
      <c r="E23" s="12" t="n">
        <v>0.11</v>
      </c>
    </row>
    <row r="24" customFormat="false" ht="15" hidden="false" customHeight="true" outlineLevel="0" collapsed="false">
      <c r="B24" s="5" t="s">
        <v>27</v>
      </c>
      <c r="E24" s="12" t="n">
        <v>0.03</v>
      </c>
    </row>
    <row r="26" customFormat="false" ht="15" hidden="false" customHeight="true" outlineLevel="0" collapsed="false">
      <c r="B26" s="4" t="s">
        <v>28</v>
      </c>
    </row>
    <row r="27" customFormat="false" ht="15" hidden="false" customHeight="true" outlineLevel="0" collapsed="false">
      <c r="B27" s="13" t="s">
        <v>29</v>
      </c>
    </row>
    <row r="28" customFormat="false" ht="15" hidden="false" customHeight="true" outlineLevel="0" collapsed="false">
      <c r="B28" s="13" t="s">
        <v>30</v>
      </c>
    </row>
    <row r="29" customFormat="false" ht="15" hidden="false" customHeight="true" outlineLevel="0" collapsed="false">
      <c r="B29" s="13" t="s">
        <v>31</v>
      </c>
    </row>
    <row r="30" customFormat="false" ht="15" hidden="false" customHeight="true" outlineLevel="0" collapsed="false">
      <c r="B30" s="13" t="s">
        <v>32</v>
      </c>
    </row>
  </sheetData>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J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2" min="2" style="1" width="46"/>
    <col collapsed="false" customWidth="true" hidden="false" outlineLevel="0" max="7" min="3" style="1" width="13"/>
    <col collapsed="false" customWidth="true" hidden="false" outlineLevel="0" max="10" min="10" style="1" width="17"/>
  </cols>
  <sheetData>
    <row r="2" customFormat="false" ht="17.25" hidden="false" customHeight="true" outlineLevel="0" collapsed="false">
      <c r="B2" s="2" t="s">
        <v>33</v>
      </c>
    </row>
    <row r="3" customFormat="false" ht="15" hidden="false" customHeight="true" outlineLevel="0" collapsed="false">
      <c r="B3" s="3" t="s">
        <v>34</v>
      </c>
    </row>
    <row r="5" customFormat="false" ht="15" hidden="false" customHeight="true" outlineLevel="0" collapsed="false">
      <c r="B5" s="14"/>
      <c r="C5" s="14" t="s">
        <v>35</v>
      </c>
      <c r="D5" s="14" t="s">
        <v>36</v>
      </c>
      <c r="E5" s="14" t="s">
        <v>37</v>
      </c>
      <c r="F5" s="14" t="s">
        <v>38</v>
      </c>
      <c r="G5" s="14" t="s">
        <v>39</v>
      </c>
    </row>
    <row r="6" customFormat="false" ht="15" hidden="false" customHeight="true" outlineLevel="0" collapsed="false">
      <c r="B6" s="5" t="s">
        <v>40</v>
      </c>
      <c r="C6" s="9" t="n">
        <f aca="false">Assumptions!C19</f>
        <v>0.07</v>
      </c>
      <c r="D6" s="9" t="n">
        <f aca="false">Assumptions!D19</f>
        <v>0.06</v>
      </c>
      <c r="E6" s="9" t="n">
        <f aca="false">Assumptions!E19</f>
        <v>0.05</v>
      </c>
      <c r="F6" s="9" t="n">
        <f aca="false">Assumptions!F19</f>
        <v>0.045</v>
      </c>
      <c r="G6" s="9" t="n">
        <f aca="false">Assumptions!G19</f>
        <v>0.04</v>
      </c>
    </row>
    <row r="7" customFormat="false" ht="15" hidden="false" customHeight="true" outlineLevel="0" collapsed="false">
      <c r="B7" s="5" t="s">
        <v>41</v>
      </c>
      <c r="C7" s="15" t="n">
        <f aca="false">Assumptions!$E$6*(1+C6)</f>
        <v>2057.717</v>
      </c>
      <c r="D7" s="15" t="n">
        <f aca="false">C7*(1+D6)</f>
        <v>2181.18002</v>
      </c>
      <c r="E7" s="15" t="n">
        <f aca="false">D7*(1+E6)</f>
        <v>2290.239021</v>
      </c>
      <c r="F7" s="15" t="n">
        <f aca="false">E7*(1+F6)</f>
        <v>2393.299776945</v>
      </c>
      <c r="G7" s="15" t="n">
        <f aca="false">F7*(1+G6)</f>
        <v>2489.0317680228</v>
      </c>
    </row>
    <row r="8" customFormat="false" ht="15" hidden="false" customHeight="true" outlineLevel="0" collapsed="false">
      <c r="B8" s="5" t="s">
        <v>42</v>
      </c>
      <c r="C8" s="9" t="n">
        <f aca="false">Assumptions!C20</f>
        <v>0.219437366751599</v>
      </c>
      <c r="D8" s="9" t="n">
        <f aca="false">Assumptions!D20</f>
        <v>0.219437366751599</v>
      </c>
      <c r="E8" s="9" t="n">
        <f aca="false">Assumptions!E20</f>
        <v>0.219437366751599</v>
      </c>
      <c r="F8" s="9" t="n">
        <f aca="false">Assumptions!F20</f>
        <v>0.219437366751599</v>
      </c>
      <c r="G8" s="9" t="n">
        <f aca="false">Assumptions!G20</f>
        <v>0.219437366751599</v>
      </c>
    </row>
    <row r="9" customFormat="false" ht="15" hidden="false" customHeight="true" outlineLevel="0" collapsed="false">
      <c r="B9" s="5" t="s">
        <v>43</v>
      </c>
      <c r="C9" s="16" t="n">
        <f aca="false">C7*C8</f>
        <v>451.54</v>
      </c>
      <c r="D9" s="16" t="n">
        <f aca="false">D7*D8</f>
        <v>478.6324</v>
      </c>
      <c r="E9" s="16" t="n">
        <f aca="false">E7*E8</f>
        <v>502.56402</v>
      </c>
      <c r="F9" s="16" t="n">
        <f aca="false">F7*F8</f>
        <v>525.1794009</v>
      </c>
      <c r="G9" s="16" t="n">
        <f aca="false">G7*G8</f>
        <v>546.186576936</v>
      </c>
    </row>
    <row r="10" customFormat="false" ht="15" hidden="false" customHeight="true" outlineLevel="0" collapsed="false">
      <c r="B10" s="5" t="s">
        <v>44</v>
      </c>
      <c r="C10" s="17" t="n">
        <v>1</v>
      </c>
      <c r="D10" s="17" t="n">
        <v>2</v>
      </c>
      <c r="E10" s="17" t="n">
        <v>3</v>
      </c>
      <c r="F10" s="17" t="n">
        <v>4</v>
      </c>
      <c r="G10" s="17" t="n">
        <v>5</v>
      </c>
    </row>
    <row r="11" customFormat="false" ht="15" hidden="false" customHeight="true" outlineLevel="0" collapsed="false">
      <c r="B11" s="5" t="s">
        <v>45</v>
      </c>
      <c r="C11" s="18" t="n">
        <f aca="false">1/(1+Assumptions!$E$23)^C10</f>
        <v>0.900900900900901</v>
      </c>
      <c r="D11" s="18" t="n">
        <f aca="false">1/(1+Assumptions!$E$23)^D10</f>
        <v>0.811622433244055</v>
      </c>
      <c r="E11" s="18" t="n">
        <f aca="false">1/(1+Assumptions!$E$23)^E10</f>
        <v>0.73119138130095</v>
      </c>
      <c r="F11" s="18" t="n">
        <f aca="false">1/(1+Assumptions!$E$23)^F10</f>
        <v>0.658730974145</v>
      </c>
      <c r="G11" s="18" t="n">
        <f aca="false">1/(1+Assumptions!$E$23)^G10</f>
        <v>0.593451328058559</v>
      </c>
    </row>
    <row r="12" customFormat="false" ht="15" hidden="false" customHeight="true" outlineLevel="0" collapsed="false">
      <c r="B12" s="5" t="s">
        <v>46</v>
      </c>
      <c r="C12" s="15" t="n">
        <f aca="false">C9*C11</f>
        <v>406.792792792793</v>
      </c>
      <c r="D12" s="15" t="n">
        <f aca="false">D9*D11</f>
        <v>388.468793117442</v>
      </c>
      <c r="E12" s="15" t="n">
        <f aca="false">E9*E11</f>
        <v>367.470479975959</v>
      </c>
      <c r="F12" s="15" t="n">
        <f aca="false">F9*F11</f>
        <v>345.951938355745</v>
      </c>
      <c r="G12" s="15" t="n">
        <f aca="false">G9*G11</f>
        <v>324.135149450427</v>
      </c>
    </row>
    <row r="14" customFormat="false" ht="15" hidden="false" customHeight="true" outlineLevel="0" collapsed="false">
      <c r="B14" s="5" t="s">
        <v>47</v>
      </c>
      <c r="C14" s="16" t="n">
        <f aca="false">SUM(C12:G12)</f>
        <v>1832.81915369237</v>
      </c>
    </row>
    <row r="16" customFormat="false" ht="15" hidden="false" customHeight="true" outlineLevel="0" collapsed="false">
      <c r="B16" s="5" t="s">
        <v>48</v>
      </c>
      <c r="C16" s="15" t="n">
        <f aca="false">G9*(1+Assumptions!$E$24)/(Assumptions!$E$23-Assumptions!$E$24)</f>
        <v>7032.152178051</v>
      </c>
    </row>
    <row r="17" customFormat="false" ht="15" hidden="false" customHeight="true" outlineLevel="0" collapsed="false">
      <c r="B17" s="5" t="s">
        <v>49</v>
      </c>
      <c r="C17" s="16" t="n">
        <f aca="false">C16*G11</f>
        <v>4173.24004917425</v>
      </c>
    </row>
    <row r="19" customFormat="false" ht="15" hidden="false" customHeight="true" outlineLevel="0" collapsed="false">
      <c r="B19" s="5" t="s">
        <v>50</v>
      </c>
      <c r="C19" s="16" t="n">
        <f aca="false">C14+C17</f>
        <v>6006.05920286662</v>
      </c>
    </row>
    <row r="20" customFormat="false" ht="15" hidden="false" customHeight="true" outlineLevel="0" collapsed="false">
      <c r="B20" s="5" t="s">
        <v>51</v>
      </c>
      <c r="C20" s="9" t="n">
        <f aca="false">C17/C19</f>
        <v>0.694838313811895</v>
      </c>
      <c r="I20" s="19" t="s">
        <v>52</v>
      </c>
      <c r="J20" s="20" t="n">
        <f aca="false">C23</f>
        <v>60060.5920286662</v>
      </c>
    </row>
    <row r="21" customFormat="false" ht="15" hidden="false" customHeight="true" outlineLevel="0" collapsed="false">
      <c r="I21" s="19" t="s">
        <v>53</v>
      </c>
      <c r="J21" s="20" t="n">
        <f aca="false">C24</f>
        <v>44980</v>
      </c>
    </row>
    <row r="22" customFormat="false" ht="15" hidden="false" customHeight="true" outlineLevel="0" collapsed="false">
      <c r="B22" s="5" t="s">
        <v>16</v>
      </c>
      <c r="C22" s="10" t="n">
        <f aca="false">Assumptions!E9</f>
        <v>100</v>
      </c>
    </row>
    <row r="23" customFormat="false" ht="15" hidden="false" customHeight="true" outlineLevel="0" collapsed="false">
      <c r="B23" s="5" t="s">
        <v>54</v>
      </c>
      <c r="C23" s="21" t="n">
        <f aca="false">C19*1000/C22</f>
        <v>60060.5920286662</v>
      </c>
    </row>
    <row r="24" customFormat="false" ht="15" hidden="false" customHeight="true" outlineLevel="0" collapsed="false">
      <c r="B24" s="5" t="s">
        <v>55</v>
      </c>
      <c r="C24" s="10" t="n">
        <f aca="false">Assumptions!E15</f>
        <v>44980</v>
      </c>
    </row>
    <row r="25" customFormat="false" ht="15" hidden="false" customHeight="true" outlineLevel="0" collapsed="false">
      <c r="B25" s="5"/>
      <c r="C25" s="22"/>
    </row>
    <row r="27" customFormat="false" ht="15" hidden="false" customHeight="true" outlineLevel="0" collapsed="false">
      <c r="B27" s="23" t="s">
        <v>56</v>
      </c>
      <c r="C27" s="23"/>
      <c r="D27" s="23"/>
      <c r="E27" s="23"/>
      <c r="F27" s="23"/>
      <c r="G27" s="23"/>
      <c r="H27" s="23"/>
    </row>
    <row r="28" customFormat="false" ht="15" hidden="false" customHeight="true" outlineLevel="0" collapsed="false">
      <c r="B28" s="23"/>
      <c r="C28" s="23"/>
      <c r="D28" s="23"/>
      <c r="E28" s="23"/>
      <c r="F28" s="23"/>
      <c r="G28" s="23"/>
      <c r="H28" s="23"/>
    </row>
    <row r="29" customFormat="false" ht="15" hidden="false" customHeight="true" outlineLevel="0" collapsed="false">
      <c r="B29" s="23"/>
      <c r="C29" s="23"/>
      <c r="D29" s="23"/>
      <c r="E29" s="23"/>
      <c r="F29" s="23"/>
      <c r="G29" s="23"/>
      <c r="H29" s="23"/>
    </row>
    <row r="30" customFormat="false" ht="15" hidden="false" customHeight="true" outlineLevel="0" collapsed="false">
      <c r="B30" s="23"/>
      <c r="C30" s="23"/>
      <c r="D30" s="23"/>
      <c r="E30" s="23"/>
      <c r="F30" s="23"/>
      <c r="G30" s="23"/>
      <c r="H30" s="23"/>
    </row>
  </sheetData>
  <mergeCells count="1">
    <mergeCell ref="B27:H30"/>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F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14"/>
    <col collapsed="false" customWidth="true" hidden="false" outlineLevel="0" max="7" min="3" style="1" width="12"/>
  </cols>
  <sheetData>
    <row r="2" customFormat="false" ht="17.25" hidden="false" customHeight="true" outlineLevel="0" collapsed="false">
      <c r="B2" s="2" t="s">
        <v>57</v>
      </c>
    </row>
    <row r="3" customFormat="false" ht="15" hidden="false" customHeight="true" outlineLevel="0" collapsed="false">
      <c r="B3" s="3" t="s">
        <v>58</v>
      </c>
    </row>
    <row r="5" customFormat="false" ht="15" hidden="false" customHeight="true" outlineLevel="0" collapsed="false">
      <c r="B5" s="24" t="s">
        <v>59</v>
      </c>
      <c r="C5" s="25" t="n">
        <v>0.02</v>
      </c>
      <c r="D5" s="25" t="n">
        <v>0.025</v>
      </c>
      <c r="E5" s="25" t="n">
        <v>0.03</v>
      </c>
      <c r="F5" s="25" t="n">
        <v>0.035</v>
      </c>
    </row>
    <row r="6" customFormat="false" ht="15" hidden="false" customHeight="true" outlineLevel="0" collapsed="false">
      <c r="B6" s="22" t="n">
        <v>0.095</v>
      </c>
      <c r="C6" s="10" t="n">
        <f aca="false">(SUMPRODUCT(DCF!$C$9:$G$9,1/(1+$B6)^DCF!$C$10:$G$10)+DCF!$G$9*(1+C$5)/($B6-C$5)/(1+$B6)^DCF!$G$10)*1000/DCF!$C$22</f>
        <v>66251.4231130559</v>
      </c>
      <c r="D6" s="10" t="n">
        <f aca="false">(SUMPRODUCT(DCF!$C$9:$G$9,1/(1+$B6)^DCF!$C$10:$G$10)+DCF!$G$9*(1+D$5)/($B6-D$5)/(1+$B6)^DCF!$G$10)*1000/DCF!$C$22</f>
        <v>69869.6454212702</v>
      </c>
      <c r="E6" s="10" t="n">
        <f aca="false">(SUMPRODUCT(DCF!$C$9:$G$9,1/(1+$B6)^DCF!$C$10:$G$10)+DCF!$G$9*(1+E$5)/($B6-E$5)/(1+$B6)^DCF!$G$10)*1000/DCF!$C$22</f>
        <v>74044.5173153637</v>
      </c>
      <c r="F6" s="10" t="n">
        <f aca="false">(SUMPRODUCT(DCF!$C$9:$G$9,1/(1+$B6)^DCF!$C$10:$G$10)+DCF!$G$9*(1+F$5)/($B6-F$5)/(1+$B6)^DCF!$G$10)*1000/DCF!$C$22</f>
        <v>78915.2011918061</v>
      </c>
    </row>
    <row r="7" customFormat="false" ht="15" hidden="false" customHeight="true" outlineLevel="0" collapsed="false">
      <c r="B7" s="22" t="n">
        <v>0.1</v>
      </c>
      <c r="C7" s="10" t="n">
        <f aca="false">(SUMPRODUCT(DCF!$C$9:$G$9,1/(1+$B7)^DCF!$C$10:$G$10)+DCF!$G$9*(1+C$5)/($B7-C$5)/(1+$B7)^DCF!$G$10)*1000/DCF!$C$22</f>
        <v>62055.0302479339</v>
      </c>
      <c r="D7" s="10" t="n">
        <f aca="false">(SUMPRODUCT(DCF!$C$9:$G$9,1/(1+$B7)^DCF!$C$10:$G$10)+DCF!$G$9*(1+D$5)/($B7-D$5)/(1+$B7)^DCF!$G$10)*1000/DCF!$C$22</f>
        <v>65163.8034244928</v>
      </c>
      <c r="E7" s="10" t="n">
        <f aca="false">(SUMPRODUCT(DCF!$C$9:$G$9,1/(1+$B7)^DCF!$C$10:$G$10)+DCF!$G$9*(1+E$5)/($B7-E$5)/(1+$B7)^DCF!$G$10)*1000/DCF!$C$22</f>
        <v>68716.687054846</v>
      </c>
      <c r="F7" s="10" t="n">
        <f aca="false">(SUMPRODUCT(DCF!$C$9:$G$9,1/(1+$B7)^DCF!$C$10:$G$10)+DCF!$G$9*(1+F$5)/($B7-F$5)/(1+$B7)^DCF!$G$10)*1000/DCF!$C$22</f>
        <v>72816.1681667919</v>
      </c>
    </row>
    <row r="8" customFormat="false" ht="15" hidden="false" customHeight="true" outlineLevel="0" collapsed="false">
      <c r="B8" s="22" t="n">
        <v>0.105</v>
      </c>
      <c r="C8" s="10" t="n">
        <f aca="false">(SUMPRODUCT(DCF!$C$9:$G$9,1/(1+$B8)^DCF!$C$10:$G$10)+DCF!$G$9*(1+C$5)/($B8-C$5)/(1+$B8)^DCF!$G$10)*1000/DCF!$C$22</f>
        <v>58353.2077080222</v>
      </c>
      <c r="D8" s="10" t="n">
        <f aca="false">(SUMPRODUCT(DCF!$C$9:$G$9,1/(1+$B8)^DCF!$C$10:$G$10)+DCF!$G$9*(1+D$5)/($B8-D$5)/(1+$B8)^DCF!$G$10)*1000/DCF!$C$22</f>
        <v>61046.9311286216</v>
      </c>
      <c r="E8" s="10" t="n">
        <f aca="false">(SUMPRODUCT(DCF!$C$9:$G$9,1/(1+$B8)^DCF!$C$10:$G$10)+DCF!$G$9*(1+E$5)/($B8-E$5)/(1+$B8)^DCF!$G$10)*1000/DCF!$C$22</f>
        <v>64099.8176719676</v>
      </c>
      <c r="F8" s="10" t="n">
        <f aca="false">(SUMPRODUCT(DCF!$C$9:$G$9,1/(1+$B8)^DCF!$C$10:$G$10)+DCF!$G$9*(1+F$5)/($B8-F$5)/(1+$B8)^DCF!$G$10)*1000/DCF!$C$22</f>
        <v>67588.8308643629</v>
      </c>
    </row>
    <row r="9" customFormat="false" ht="15" hidden="false" customHeight="true" outlineLevel="0" collapsed="false">
      <c r="B9" s="22" t="n">
        <v>0.11</v>
      </c>
      <c r="C9" s="10" t="n">
        <f aca="false">(SUMPRODUCT(DCF!$C$9:$G$9,1/(1+$B9)^DCF!$C$10:$G$10)+DCF!$G$9*(1+C$5)/($B9-C$5)/(1+$B9)^DCF!$G$10)*1000/DCF!$C$22</f>
        <v>55063.5084746388</v>
      </c>
      <c r="D9" s="10" t="n">
        <f aca="false">(SUMPRODUCT(DCF!$C$9:$G$9,1/(1+$B9)^DCF!$C$10:$G$10)+DCF!$G$9*(1+D$5)/($B9-D$5)/(1+$B9)^DCF!$G$10)*1000/DCF!$C$22</f>
        <v>57415.0772059458</v>
      </c>
      <c r="E9" s="26" t="n">
        <f aca="false">(SUMPRODUCT(DCF!$C$9:$G$9,1/(1+$B9)^DCF!$C$10:$G$10)+DCF!$G$9*(1+E$5)/($B9-E$5)/(1+$B9)^DCF!$G$10)*1000/DCF!$C$22</f>
        <v>60060.5920286662</v>
      </c>
      <c r="F9" s="10" t="n">
        <f aca="false">(SUMPRODUCT(DCF!$C$9:$G$9,1/(1+$B9)^DCF!$C$10:$G$10)+DCF!$G$9*(1+F$5)/($B9-F$5)/(1+$B9)^DCF!$G$10)*1000/DCF!$C$22</f>
        <v>63058.8421610826</v>
      </c>
    </row>
    <row r="10" customFormat="false" ht="15" hidden="false" customHeight="true" outlineLevel="0" collapsed="false">
      <c r="B10" s="22" t="n">
        <v>0.115</v>
      </c>
      <c r="C10" s="10" t="n">
        <f aca="false">(SUMPRODUCT(DCF!$C$9:$G$9,1/(1+$B10)^DCF!$C$10:$G$10)+DCF!$G$9*(1+C$5)/($B10-C$5)/(1+$B10)^DCF!$G$10)*1000/DCF!$C$22</f>
        <v>52120.8432849482</v>
      </c>
      <c r="D10" s="10" t="n">
        <f aca="false">(SUMPRODUCT(DCF!$C$9:$G$9,1/(1+$B10)^DCF!$C$10:$G$10)+DCF!$G$9*(1+D$5)/($B10-D$5)/(1+$B10)^DCF!$G$10)*1000/DCF!$C$22</f>
        <v>54187.3910263047</v>
      </c>
      <c r="E10" s="10" t="n">
        <f aca="false">(SUMPRODUCT(DCF!$C$9:$G$9,1/(1+$B10)^DCF!$C$10:$G$10)+DCF!$G$9*(1+E$5)/($B10-E$5)/(1+$B10)^DCF!$G$10)*1000/DCF!$C$22</f>
        <v>56497.0620313503</v>
      </c>
      <c r="F10" s="10" t="n">
        <f aca="false">(SUMPRODUCT(DCF!$C$9:$G$9,1/(1+$B10)^DCF!$C$10:$G$10)+DCF!$G$9*(1+F$5)/($B10-F$5)/(1+$B10)^DCF!$G$10)*1000/DCF!$C$22</f>
        <v>59095.4419120266</v>
      </c>
    </row>
    <row r="11" customFormat="false" ht="15" hidden="false" customHeight="true" outlineLevel="0" collapsed="false">
      <c r="B11" s="22" t="n">
        <v>0.12</v>
      </c>
      <c r="C11" s="10" t="n">
        <f aca="false">(SUMPRODUCT(DCF!$C$9:$G$9,1/(1+$B11)^DCF!$C$10:$G$10)+DCF!$G$9*(1+C$5)/($B11-C$5)/(1+$B11)^DCF!$G$10)*1000/DCF!$C$22</f>
        <v>49473.1411778753</v>
      </c>
      <c r="D11" s="10" t="n">
        <f aca="false">(SUMPRODUCT(DCF!$C$9:$G$9,1/(1+$B11)^DCF!$C$10:$G$10)+DCF!$G$9*(1+D$5)/($B11-D$5)/(1+$B11)^DCF!$G$10)*1000/DCF!$C$22</f>
        <v>51300.0435137957</v>
      </c>
      <c r="E11" s="10" t="n">
        <f aca="false">(SUMPRODUCT(DCF!$C$9:$G$9,1/(1+$B11)^DCF!$C$10:$G$10)+DCF!$G$9*(1+E$5)/($B11-E$5)/(1+$B11)^DCF!$G$10)*1000/DCF!$C$22</f>
        <v>53329.9349981517</v>
      </c>
      <c r="F11" s="10" t="n">
        <f aca="false">(SUMPRODUCT(DCF!$C$9:$G$9,1/(1+$B11)^DCF!$C$10:$G$10)+DCF!$G$9*(1+F$5)/($B11-F$5)/(1+$B11)^DCF!$G$10)*1000/DCF!$C$22</f>
        <v>55598.6372453732</v>
      </c>
    </row>
    <row r="12" customFormat="false" ht="15" hidden="false" customHeight="true" outlineLevel="0" collapsed="false">
      <c r="B12" s="22" t="n">
        <v>0.125</v>
      </c>
      <c r="C12" s="10" t="n">
        <f aca="false">(SUMPRODUCT(DCF!$C$9:$G$9,1/(1+$B12)^DCF!$C$10:$G$10)+DCF!$G$9*(1+C$5)/($B12-C$5)/(1+$B12)^DCF!$G$10)*1000/DCF!$C$22</f>
        <v>47078.249884581</v>
      </c>
      <c r="D12" s="10" t="n">
        <f aca="false">(SUMPRODUCT(DCF!$C$9:$G$9,1/(1+$B12)^DCF!$C$10:$G$10)+DCF!$G$9*(1+D$5)/($B12-D$5)/(1+$B12)^DCF!$G$10)*1000/DCF!$C$22</f>
        <v>48701.9717469059</v>
      </c>
      <c r="E12" s="10" t="n">
        <f aca="false">(SUMPRODUCT(DCF!$C$9:$G$9,1/(1+$B12)^DCF!$C$10:$G$10)+DCF!$G$9*(1+E$5)/($B12-E$5)/(1+$B12)^DCF!$G$10)*1000/DCF!$C$22</f>
        <v>50496.6117000019</v>
      </c>
      <c r="F12" s="10" t="n">
        <f aca="false">(SUMPRODUCT(DCF!$C$9:$G$9,1/(1+$B12)^DCF!$C$10:$G$10)+DCF!$G$9*(1+F$5)/($B12-F$5)/(1+$B12)^DCF!$G$10)*1000/DCF!$C$22</f>
        <v>52490.6560923306</v>
      </c>
    </row>
    <row r="14" customFormat="false" ht="27.75" hidden="false" customHeight="true" outlineLevel="0" collapsed="false">
      <c r="B14" s="23" t="s">
        <v>60</v>
      </c>
      <c r="C14" s="23"/>
      <c r="D14" s="23"/>
      <c r="E14" s="23"/>
      <c r="F14" s="23"/>
    </row>
  </sheetData>
  <mergeCells count="1">
    <mergeCell ref="B14:F14"/>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F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28"/>
    <col collapsed="false" customWidth="true" hidden="false" outlineLevel="0" max="3" min="3" style="1" width="16"/>
    <col collapsed="false" customWidth="true" hidden="false" outlineLevel="0" max="4" min="4" style="1" width="14"/>
    <col collapsed="false" customWidth="true" hidden="false" outlineLevel="0" max="5" min="5" style="1" width="46"/>
  </cols>
  <sheetData>
    <row r="2" customFormat="false" ht="17.25" hidden="false" customHeight="true" outlineLevel="0" collapsed="false">
      <c r="B2" s="2" t="s">
        <v>61</v>
      </c>
    </row>
    <row r="3" customFormat="false" ht="15" hidden="false" customHeight="true" outlineLevel="0" collapsed="false">
      <c r="B3" s="3" t="s">
        <v>62</v>
      </c>
    </row>
    <row r="5" customFormat="false" ht="15" hidden="false" customHeight="true" outlineLevel="0" collapsed="false">
      <c r="B5" s="24" t="s">
        <v>63</v>
      </c>
      <c r="C5" s="24" t="s">
        <v>64</v>
      </c>
      <c r="D5" s="24" t="s">
        <v>65</v>
      </c>
      <c r="E5" s="24" t="s">
        <v>66</v>
      </c>
    </row>
    <row r="6" customFormat="false" ht="15" hidden="false" customHeight="true" outlineLevel="0" collapsed="false">
      <c r="B6" s="5" t="s">
        <v>67</v>
      </c>
      <c r="C6" s="5" t="s">
        <v>68</v>
      </c>
      <c r="D6" s="27" t="n">
        <f aca="false">Assumptions!E10/Assumptions!E7</f>
        <v>4.88276161528441</v>
      </c>
      <c r="E6" s="5" t="s">
        <v>69</v>
      </c>
    </row>
    <row r="7" customFormat="false" ht="15" hidden="false" customHeight="true" outlineLevel="0" collapsed="false">
      <c r="B7" s="5" t="s">
        <v>70</v>
      </c>
      <c r="C7" s="5" t="s">
        <v>71</v>
      </c>
      <c r="D7" s="28" t="n">
        <v>4.9</v>
      </c>
      <c r="E7" s="5" t="s">
        <v>72</v>
      </c>
    </row>
    <row r="9" customFormat="false" ht="15" hidden="false" customHeight="true" outlineLevel="0" collapsed="false">
      <c r="B9" s="4" t="s">
        <v>73</v>
      </c>
    </row>
    <row r="10" customFormat="false" ht="15" hidden="false" customHeight="true" outlineLevel="0" collapsed="false">
      <c r="B10" s="29" t="s">
        <v>74</v>
      </c>
      <c r="C10" s="29"/>
      <c r="D10" s="29"/>
      <c r="E10" s="29"/>
      <c r="F10" s="29"/>
    </row>
    <row r="11" customFormat="false" ht="15" hidden="false" customHeight="true" outlineLevel="0" collapsed="false">
      <c r="B11" s="29"/>
      <c r="C11" s="29"/>
      <c r="D11" s="29"/>
      <c r="E11" s="29"/>
      <c r="F11" s="29"/>
    </row>
    <row r="12" customFormat="false" ht="15" hidden="false" customHeight="true" outlineLevel="0" collapsed="false">
      <c r="B12" s="29"/>
      <c r="C12" s="29"/>
      <c r="D12" s="29"/>
      <c r="E12" s="29"/>
      <c r="F12" s="29"/>
    </row>
  </sheetData>
  <mergeCells count="1">
    <mergeCell ref="B10:F12"/>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E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58"/>
    <col collapsed="false" customWidth="true" hidden="false" outlineLevel="0" max="4" min="4" style="1" width="16"/>
  </cols>
  <sheetData>
    <row r="2" customFormat="false" ht="18" hidden="false" customHeight="true" outlineLevel="0" collapsed="false">
      <c r="B2" s="30" t="s">
        <v>75</v>
      </c>
    </row>
    <row r="5" customFormat="false" ht="15" hidden="false" customHeight="true" outlineLevel="0" collapsed="false">
      <c r="B5" s="4" t="s">
        <v>76</v>
      </c>
      <c r="D5" s="4" t="s">
        <v>77</v>
      </c>
    </row>
    <row r="6" customFormat="false" ht="27.75" hidden="false" customHeight="true" outlineLevel="0" collapsed="false">
      <c r="B6" s="31" t="s">
        <v>78</v>
      </c>
      <c r="D6" s="4" t="str">
        <f aca="false">IF(Assumptions!E24&lt;Assumptions!E23,"OK","A VERIFIER")</f>
        <v>OK</v>
      </c>
    </row>
    <row r="7" customFormat="false" ht="27.75" hidden="false" customHeight="true" outlineLevel="0" collapsed="false">
      <c r="B7" s="31" t="s">
        <v>79</v>
      </c>
      <c r="D7" s="4" t="str">
        <f aca="false">IF(MIN(Assumptions!C20:G20)&gt;0,"OK","A VERIFIER")</f>
        <v>OK</v>
      </c>
    </row>
    <row r="8" customFormat="false" ht="27.75" hidden="false" customHeight="true" outlineLevel="0" collapsed="false">
      <c r="B8" s="31" t="s">
        <v>80</v>
      </c>
      <c r="D8" s="4" t="str">
        <f aca="false">IF(ROUND(DCF!C14+DCF!C17-DCF!C19,1)=0,"OK","A VERIFIER")</f>
        <v>OK</v>
      </c>
    </row>
    <row r="9" customFormat="false" ht="27.75" hidden="false" customHeight="true" outlineLevel="0" collapsed="false">
      <c r="B9" s="31" t="s">
        <v>81</v>
      </c>
      <c r="D9" s="4" t="str">
        <f aca="false">IF(ROUND(Assumptions!E10*1000/Assumptions!E9-Assumptions!E15,0)=0,"OK","A VERIFIER")</f>
        <v>OK</v>
      </c>
    </row>
    <row r="10" customFormat="false" ht="27.75" hidden="false" customHeight="true" outlineLevel="0" collapsed="false">
      <c r="B10" s="31" t="s">
        <v>82</v>
      </c>
      <c r="D10" s="4" t="str">
        <f aca="false">IF(DCF!C19&gt;0,"OK","A VERIFIER")</f>
        <v>OK</v>
      </c>
    </row>
    <row r="12" customFormat="false" ht="15" hidden="false" customHeight="true" outlineLevel="0" collapsed="false">
      <c r="B12" s="4" t="s">
        <v>83</v>
      </c>
      <c r="C12" s="4" t="str">
        <f aca="false">IF(COUNTIF(D6:D10,"OK")=5,"Tous les contrôles sont OK","Au moins un contrôle à vérifier")</f>
        <v>Tous les contrôles sont OK</v>
      </c>
    </row>
    <row r="15" customFormat="false" ht="15" hidden="false" customHeight="true" outlineLevel="0" collapsed="false">
      <c r="B15" s="32" t="s">
        <v>84</v>
      </c>
      <c r="C15" s="32"/>
      <c r="D15" s="32"/>
      <c r="E15" s="32"/>
    </row>
    <row r="16" customFormat="false" ht="15" hidden="false" customHeight="true" outlineLevel="0" collapsed="false">
      <c r="B16" s="32"/>
      <c r="C16" s="32"/>
      <c r="D16" s="32"/>
      <c r="E16" s="32"/>
    </row>
    <row r="17" customFormat="false" ht="15" hidden="false" customHeight="true" outlineLevel="0" collapsed="false">
      <c r="B17" s="32"/>
      <c r="C17" s="32"/>
      <c r="D17" s="32"/>
      <c r="E17" s="32"/>
    </row>
  </sheetData>
  <mergeCells count="1">
    <mergeCell ref="B15:E17"/>
  </mergeCells>
  <conditionalFormatting sqref="D6:D10">
    <cfRule type="expression" priority="2" aboveAverage="0" equalAverage="0" bottom="0" percent="0" rank="0" text="" dxfId="0">
      <formula>D6="OK"</formula>
    </cfRule>
    <cfRule type="expression" priority="3" aboveAverage="0" equalAverage="0" bottom="0" percent="0" rank="0" text="" dxfId="1">
      <formula>D6&lt;&gt;"OK"</formula>
    </cfRule>
  </conditionalFormatting>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2026-10-12T12:58:56Z</dcterms:created>
  <dc:creator>openpyxl</dc:creator>
  <dc:description/>
  <dc:language>en-US</dc:language>
  <cp:lastModifiedBy/>
  <dcterms:modified xsi:type="dcterms:W3CDTF">2026-10-13T11:32:57Z</dcterms:modified>
  <cp:revision>13</cp:revision>
  <dc:subject/>
  <dc:title/>
</cp:coreProperties>
</file>

<file path=docProps/custom.xml><?xml version="1.0" encoding="utf-8"?>
<Properties xmlns="http://schemas.openxmlformats.org/officeDocument/2006/custom-properties" xmlns:vt="http://schemas.openxmlformats.org/officeDocument/2006/docPropsVTypes"/>
</file>