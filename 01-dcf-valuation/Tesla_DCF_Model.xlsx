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2.xml.rels" ContentType="application/vnd.openxmlformats-package.relationships+xml"/>
  <Override PartName="/xl/drawings/_rels/drawing1.xml.rels" ContentType="application/vnd.openxmlformats-package.relationship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DCF" sheetId="3" state="visible" r:id="rId5"/>
    <sheet name="Sensitivity" sheetId="4" state="visible" r:id="rId6"/>
    <sheet name="Market Gap" sheetId="5" state="visible" r:id="rId7"/>
    <sheet name="Checks" sheetId="6" state="visible" r:id="rId8"/>
  </sheets>
  <definedNames>
    <definedName function="false" hidden="false" localSheetId="1" name="_xlnm.Print_Area" vbProcedure="false">Assumptions!$A$1:$G$34</definedName>
    <definedName function="false" hidden="false" localSheetId="5" name="_xlnm.Print_Area" vbProcedure="false">Checks!$A$1:$E$17</definedName>
    <definedName function="false" hidden="false" localSheetId="0" name="_xlnm.Print_Area" vbProcedure="false">Cover!$A$1:$C$16</definedName>
    <definedName function="false" hidden="false" localSheetId="2" name="_xlnm.Print_Area" vbProcedure="false">DCF!$A$1:$G$41</definedName>
    <definedName function="false" hidden="false" localSheetId="4" name="_xlnm.Print_Area" vbProcedure="false">'Market Gap'!$A$1:$S$20</definedName>
    <definedName function="false" hidden="false" localSheetId="3" name="_xlnm.Print_Area" vbProcedure="false">Sensitivity!$A$1:$G$16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21" authorId="0">
      <text>
        <r>
          <rPr>
            <sz val="10"/>
            <rFont val="Arial"/>
            <family val="2"/>
          </rPr>
          <t xml:space="preserve">Identique au bêta de régression de marché (C13, stockanalysis.com). La cellule est laissée éditable séparément de C13 pour permettre de tester un bêta ajusté (par exemple un bêta reconstruit par rebêtisation d'un panier de comparables) sans modifier la donnée de marché brute, mais aucun ajustement de ce type n'a été appliqué ici : les deux valeurs sont identiques dans ce modèle.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9" authorId="0">
      <text>
        <r>
          <rPr>
            <sz val="10"/>
            <rFont val="Arial"/>
            <family val="2"/>
          </rPr>
          <t xml:space="preserve">Convention mid-year : les flux de trésorerie sont supposés perçus en moyenne au milieu de chaque exercice (période n-0,5), plutôt qu'en toute fin d'année. Convention standard en modélisation DCF (guide BIWS, Breaking Into Wall Street) ; la valeur terminale (Gordon growth) est actualisée avec le même facteur que le dernier flux explicite, sans 0,5 supplémentaire, conformément à cette méthode.</t>
        </r>
      </text>
    </comment>
    <comment ref="B33" authorId="0">
      <text>
        <r>
          <rPr>
            <sz val="10"/>
            <rFont val="Arial"/>
            <family val="2"/>
          </rPr>
          <t xml:space="preserve">Hypothèse : la marge est maintenue constante jusqu'en 2030 pour ce recoupement.</t>
        </r>
      </text>
    </comment>
    <comment ref="B36" authorId="0">
      <text>
        <r>
          <rPr>
            <sz val="10"/>
            <rFont val="Arial"/>
            <family val="2"/>
          </rPr>
          <t xml:space="preserve">Référence interne (DCF!C24), car aucun comparable boursier EV/EBITDA n'est sourcé pour Tesla dans ce classeur.</t>
        </r>
      </text>
    </comment>
  </commentList>
</comments>
</file>

<file path=xl/sharedStrings.xml><?xml version="1.0" encoding="utf-8"?>
<sst xmlns="http://schemas.openxmlformats.org/spreadsheetml/2006/main" count="118" uniqueCount="109">
  <si>
    <t xml:space="preserve">Tesla, Inc. (NASDAQ : TSLA) - DCF à 2 étages sur une valeur de croissance</t>
  </si>
  <si>
    <t xml:space="preserve">Exercice personnel de valorisation - Yvann Ahoure</t>
  </si>
  <si>
    <t xml:space="preserve">Sommaire</t>
  </si>
  <si>
    <t xml:space="preserve">Assumptions</t>
  </si>
  <si>
    <t xml:space="preserve">Hypothèses de projection, WACC et données de marché</t>
  </si>
  <si>
    <t xml:space="preserve">DCF</t>
  </si>
  <si>
    <t xml:space="preserve">DCF à 2 étages (FCF explicite 5 ans + valeur terminale Gordon)</t>
  </si>
  <si>
    <t xml:space="preserve">Sensitivity</t>
  </si>
  <si>
    <t xml:space="preserve">Sensibilité valeur/action au WACC et à la croissance terminale</t>
  </si>
  <si>
    <t xml:space="preserve">Market Gap</t>
  </si>
  <si>
    <t xml:space="preserve">Lecture de l'écart entre le DCF et la capitalisation boursière</t>
  </si>
  <si>
    <t xml:space="preserve">Sources</t>
  </si>
  <si>
    <t xml:space="preserve">Tesla, Form 10-K FY2025 (SEC EDGAR, filed ~27 Jan 2026) ; Tesla Q4/FY2025 shareholder deck (8-K Ex. 99.1, ~28 Jan 2026).</t>
  </si>
  <si>
    <t xml:space="preserve">stockanalysis.com (cours, capitalisation, bêta, consensus analystes) - relevé le 12 octobre 2026.</t>
  </si>
  <si>
    <t xml:space="preserve">Toutes les hypothèses de projection (croissance au-delà du consensus, marge de FCF, WACC) sont des estimations personnelles, clairement identifiées comme telles ci-dessous.</t>
  </si>
  <si>
    <t xml:space="preserve">Hypothèses</t>
  </si>
  <si>
    <t xml:space="preserve">Données de départ (FY2025, année close le 31/12/2025)</t>
  </si>
  <si>
    <t xml:space="preserve">Chiffre d'affaires FY2025 ($M)</t>
  </si>
  <si>
    <t xml:space="preserve">10-K FY2025 / 8-K Ex.99.1, SEC EDGAR</t>
  </si>
  <si>
    <t xml:space="preserve">EBITDA ajusté FY2025 ($M)</t>
  </si>
  <si>
    <t xml:space="preserve">8-K Ex.99.1 (non-GAAP, définition société)</t>
  </si>
  <si>
    <t xml:space="preserve">Free cash-flow FY2025 ($M)</t>
  </si>
  <si>
    <t xml:space="preserve">8-K Ex.99.1 (non-GAAP)</t>
  </si>
  <si>
    <t xml:space="preserve">Trésorerie + placements ($M)</t>
  </si>
  <si>
    <t xml:space="preserve">10-K FY2025, bilan</t>
  </si>
  <si>
    <t xml:space="preserve">Dette totale + leasing financier ($M)</t>
  </si>
  <si>
    <t xml:space="preserve">Actions en circulation (M, 23/01/2026)</t>
  </si>
  <si>
    <t xml:space="preserve">10-K FY2025, page de garde</t>
  </si>
  <si>
    <t xml:space="preserve">Cours de l'action (12/10/2026, $)</t>
  </si>
  <si>
    <t xml:space="preserve">stockanalysis.com</t>
  </si>
  <si>
    <t xml:space="preserve">Capitalisation boursière ($M)</t>
  </si>
  <si>
    <t xml:space="preserve">stockanalysis.com (~1,50 T$)</t>
  </si>
  <si>
    <t xml:space="preserve">Bêta (régression)</t>
  </si>
  <si>
    <t xml:space="preserve">Trésorerie nette ($M)</t>
  </si>
  <si>
    <t xml:space="preserve">(trésorerie + placements - dette totale)</t>
  </si>
  <si>
    <t xml:space="preserve">WACC (construit, méthode CAPM)</t>
  </si>
  <si>
    <t xml:space="preserve">Taux sans risque (UST 10 ans)</t>
  </si>
  <si>
    <t xml:space="preserve">stockanalysis.com / marché, oct. 2026</t>
  </si>
  <si>
    <t xml:space="preserve">Prime de risque actions (ERP)</t>
  </si>
  <si>
    <t xml:space="preserve">Hypothèse standard de marché (prime de risque actions)</t>
  </si>
  <si>
    <t xml:space="preserve">Bêta retenu</t>
  </si>
  <si>
    <t xml:space="preserve">Coût des fonds propres</t>
  </si>
  <si>
    <t xml:space="preserve">WACC retenu (trésorerie nette ⇒ coût de la dette ignoré)</t>
  </si>
  <si>
    <t xml:space="preserve">Arrondi prudent du coût des fonds propres ; cellule éditable pour tester d'autres scénarios</t>
  </si>
  <si>
    <t xml:space="preserve">Croissance terminale</t>
  </si>
  <si>
    <t xml:space="preserve">Hypothèse personnelle, proche de l'inflation/croissance du PIB nominal long terme</t>
  </si>
  <si>
    <t xml:space="preserve">Trajectoire de croissance du chiffre d'affaires (hypothèses personnelles)</t>
  </si>
  <si>
    <t xml:space="preserve">Année</t>
  </si>
  <si>
    <t xml:space="preserve">2026</t>
  </si>
  <si>
    <t xml:space="preserve">2027</t>
  </si>
  <si>
    <t xml:space="preserve">2028</t>
  </si>
  <si>
    <t xml:space="preserve">2029</t>
  </si>
  <si>
    <t xml:space="preserve">2030</t>
  </si>
  <si>
    <t xml:space="preserve">Croissance du CA (%)</t>
  </si>
  <si>
    <t xml:space="preserve">Marge de free cash-flow (%)</t>
  </si>
  <si>
    <t xml:space="preserve">2026-2027 : consensus analystes (stockanalysis.com, 40 analystes, relevé 12/10/2026).</t>
  </si>
  <si>
    <t xml:space="preserve">2028-2030 : hypothèse personnelle de ralentissement progressif vers un taux proche de la croissance terminale.</t>
  </si>
  <si>
    <t xml:space="preserve">Marge de FCF : hypothèse personnelle d'amélioration progressive à mesure que l'intensité du capex (Gigafactories, IA/Optimus) se normalise. FY2025 réel = 6,6 % (6 220 / 94 827).</t>
  </si>
  <si>
    <t xml:space="preserve">DCF à 2 étages</t>
  </si>
  <si>
    <t xml:space="preserve">Chiffre d'affaires ($M)</t>
  </si>
  <si>
    <t xml:space="preserve">Marge de FCF (%)</t>
  </si>
  <si>
    <t xml:space="preserve">Free cash-flow ($M)</t>
  </si>
  <si>
    <t xml:space="preserve">Facteur d'actualisation (convention mid-year)</t>
  </si>
  <si>
    <t xml:space="preserve">VA du FCF ($M)</t>
  </si>
  <si>
    <t xml:space="preserve">Somme des VA du FCF explicite ($M)</t>
  </si>
  <si>
    <t xml:space="preserve">Valeur terminale (Gordon growth, non actualisée, $M)</t>
  </si>
  <si>
    <t xml:space="preserve">VA de la valeur terminale ($M)</t>
  </si>
  <si>
    <t xml:space="preserve">Valeur d'entreprise (EV, $M)</t>
  </si>
  <si>
    <t xml:space="preserve">+ Trésorerie nette ($M)</t>
  </si>
  <si>
    <t xml:space="preserve">-&gt; Valeur des fonds propres ($M)</t>
  </si>
  <si>
    <t xml:space="preserve">/ Actions en circulation (M)</t>
  </si>
  <si>
    <t xml:space="preserve">-&gt; Valeur implicite par action ($)</t>
  </si>
  <si>
    <t xml:space="preserve">Cours de marché actuel ($)</t>
  </si>
  <si>
    <t xml:space="preserve">Écart DCF vs marché (%)</t>
  </si>
  <si>
    <t xml:space="preserve">VE/EBITDA implicite du DCF (sur EBITDA ajusté FY2025)</t>
  </si>
  <si>
    <t xml:space="preserve">VE/EBITDA impliqué par le marché ((capi - trésorerie nette) / EBITDA FY2025)</t>
  </si>
  <si>
    <t xml:space="preserve">Lecture : ce DCF, construit uniquement sur les flux de l'activité automobile/énergie actuelle, fait ressortir une valeur par action très inférieure au cours de marché. L'écart ne traduit pas une erreur de calcul mais le fait que la capitalisation de Tesla intègre des paris sur des relais de croissance non reflétés dans les flux actuels (robotaxi/FSD, Optimus, stockage d'énergie) ; voir l'onglet Market Gap.</t>
  </si>
  <si>
    <t xml:space="preserve">RECOUPEMENT DE LA VALEUR TERMINALE (MULTIPLE DE SORTIE)</t>
  </si>
  <si>
    <t xml:space="preserve">Marge d'EBITDA ajusté FY2025 (hypothèse de projection)</t>
  </si>
  <si>
    <t xml:space="preserve">EBITDA implicite, année 5 (2030, $M)</t>
  </si>
  <si>
    <t xml:space="preserve">Multiple de sortie implicite (VT / EBITDA an 5)</t>
  </si>
  <si>
    <t xml:space="preserve">Pour mémoire : multiple implicite du DCF sur EBITDA actuel</t>
  </si>
  <si>
    <t xml:space="preserve">Lecture : ce recoupement applique la méthode des multiples de sortie en complément de la méthode Gordon growth (cf. guide BIWS, Key Rule #4). Aucun comparable boursier (EV/EBITDA) n'étant sourcé dans ce modèle pour un acteur automobile ou technologique comparable à Tesla sur son profil actuel, le multiple de sortie implicite est présenté à titre de contrôle de cohérence interne (il reste dans un ordre de grandeur proche du multiple déjà implicite du DCF sur l'EBITDA actuel), et non comme un recoupement contre des comparables externes.</t>
  </si>
  <si>
    <t xml:space="preserve">Sensibilité - valeur implicite par action ($)</t>
  </si>
  <si>
    <t xml:space="preserve">WACC \ g terminale</t>
  </si>
  <si>
    <t xml:space="preserve">Formule : somme des FCF actualisés (convention mid-year) sur la trajectoire de l'onglet DCF + valeur terminale (Gordon growth) au couple (WACC, g), plus trésorerie nette, divisé par le nombre d'actions.</t>
  </si>
  <si>
    <t xml:space="preserve">Lecture de l'écart DCF / marché</t>
  </si>
  <si>
    <t xml:space="preserve">Ce que capture le DCF (onglet DCF)</t>
  </si>
  <si>
    <t xml:space="preserve">Valeur implicite par action</t>
  </si>
  <si>
    <t xml:space="preserve">Flux de l'activité véhicules électriques et stockage d'énergie telle qu'elle existe aujourd'hui, projetée sur 5 ans puis en valeur terminale (croissance 3 %).</t>
  </si>
  <si>
    <t xml:space="preserve">Cours de marche actuel</t>
  </si>
  <si>
    <t xml:space="preserve">Ce que la capitalisation boursière intègre en plus</t>
  </si>
  <si>
    <t xml:space="preserve">- Robotaxi / Full Self-Driving : licence logicielle à marge quasi-pure si le déploiement réussit (aucun flux encore dans les comptes).</t>
  </si>
  <si>
    <t xml:space="preserve">- Optimus (robot humanoïde) : relais de croissance annoncé par la direction, hors des revenus actuels.</t>
  </si>
  <si>
    <t xml:space="preserve">- Stockage d'énergie (Megapack) : segment en forte croissance mais encore minoritaire dans le chiffre d'affaires total.</t>
  </si>
  <si>
    <t xml:space="preserve">- Prime d'exécution/attentes : le marché valorise Tesla avec un multiple proche de 100x l'EBITDA actuel (voir DCF!C25), contre environ 9x pour la valeur implicite du DCF (DCF!C24), un écart qui ne se retrouve sur aucun constructeur automobile traditionnel.</t>
  </si>
  <si>
    <t xml:space="preserve">Conclusion de l'exercice</t>
  </si>
  <si>
    <t xml:space="preserve">Un DCF classique sur les flux actuels ne peut pas, à lui seul, justifier le cours de Tesla : c'est un résultat attendu et documenté par de nombreux analystes sell-side, pas une erreur de modélisation. L'exercice a ici une valeur méthodologique : savoir construire un DCF rigoureux ET savoir identifier explicitement ce qu'il ne capture pas, plutôt que de forcer les hypothèses pour recoller au cours de marché.</t>
  </si>
  <si>
    <t xml:space="preserve">Contrôles de cohérence - Tesla</t>
  </si>
  <si>
    <t xml:space="preserve">Contrôle</t>
  </si>
  <si>
    <t xml:space="preserve">Résultat</t>
  </si>
  <si>
    <t xml:space="preserve">Croissance terminale &lt; WACC (sinon valeur terminale indéfinie)</t>
  </si>
  <si>
    <t xml:space="preserve">Toutes les marges de FCF projetées sont strictement positives</t>
  </si>
  <si>
    <t xml:space="preserve">EV recalculée (somme VA FCF + VA valeur terminale) = DCF!C17</t>
  </si>
  <si>
    <t xml:space="preserve">Valeur des fonds propres (EV + trésorerie nette) = DCF!C19</t>
  </si>
  <si>
    <t xml:space="preserve">Actions × cours cohérent avec la capitalisation (écart &lt; 6 %, cf. note sur les bases de calcul)</t>
  </si>
  <si>
    <t xml:space="preserve">Multiple de sortie implicite calculable et positif (contrôle interne ; pas de comparable externe sourcé ici)</t>
  </si>
  <si>
    <t xml:space="preserve">Synthèse</t>
  </si>
  <si>
    <t xml:space="preserve">Note : ces contrôles vérifient la cohérence interne du modèle (pas d'erreur de construction), pas la justesse des hypothèses elles-mêmes.</t>
  </si>
</sst>
</file>

<file path=xl/styles.xml><?xml version="1.0" encoding="utf-8"?>
<styleSheet xmlns="http://schemas.openxmlformats.org/spreadsheetml/2006/main">
  <numFmts count="12">
    <numFmt numFmtId="164" formatCode="General"/>
    <numFmt numFmtId="165" formatCode="#,##0;\(#,##0\);\-"/>
    <numFmt numFmtId="166" formatCode="#,##0.0;\(#,##0.0\);\-"/>
    <numFmt numFmtId="167" formatCode="\$#,##0.00"/>
    <numFmt numFmtId="168" formatCode="0.00"/>
    <numFmt numFmtId="169" formatCode="0.0%;\(0.0%\);\-"/>
    <numFmt numFmtId="170" formatCode="0.000"/>
    <numFmt numFmtId="171" formatCode="0.00\x;\(0.00&quot;x)&quot;;\-"/>
    <numFmt numFmtId="172" formatCode="#,##0"/>
    <numFmt numFmtId="173" formatCode="\$#,##0"/>
    <numFmt numFmtId="174" formatCode="#,##0.0&quot; $&quot;"/>
    <numFmt numFmtId="175" formatCode="#,##0.0"/>
  </numFmts>
  <fonts count="2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666666"/>
      <name val="Arial"/>
      <family val="0"/>
      <charset val="1"/>
    </font>
    <font>
      <b val="true"/>
      <sz val="10"/>
      <name val="Arial"/>
      <family val="0"/>
      <charset val="1"/>
    </font>
    <font>
      <b val="true"/>
      <sz val="10"/>
      <color rgb="FF0000FF"/>
      <name val="Arial"/>
      <family val="0"/>
      <charset val="1"/>
    </font>
    <font>
      <sz val="11"/>
      <color theme="1"/>
      <name val="Arial"/>
      <family val="0"/>
      <charset val="1"/>
    </font>
    <font>
      <sz val="10"/>
      <color rgb="FF0000FF"/>
      <name val="Arial"/>
      <family val="0"/>
      <charset val="1"/>
    </font>
    <font>
      <sz val="10"/>
      <name val="Arial"/>
      <family val="2"/>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0F6B5C"/>
      <name val="Arial"/>
      <family val="0"/>
      <charset val="1"/>
    </font>
    <font>
      <i val="true"/>
      <sz val="9"/>
      <color rgb="FF7F7F7F"/>
      <name val="Arial"/>
      <family val="0"/>
      <charset val="1"/>
    </font>
    <font>
      <sz val="10"/>
      <color rgb="FF000000"/>
      <name val="Arial"/>
      <family val="0"/>
      <charset val="1"/>
    </font>
    <font>
      <b val="true"/>
      <sz val="15"/>
      <color rgb="FF1F3864"/>
      <name val="Arial"/>
      <family val="0"/>
      <charset val="1"/>
    </font>
    <font>
      <i val="true"/>
      <sz val="8"/>
      <color rgb="FF7F7F7F"/>
      <name val="Arial"/>
      <family val="0"/>
      <charset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9" fillId="2" borderId="0" xfId="0" applyFont="true" applyBorder="false" applyAlignment="true" applyProtection="true">
      <alignment horizontal="general" vertical="bottom" textRotation="0" wrapText="false" indent="0" shrinkToFit="false"/>
      <protection locked="true" hidden="false"/>
    </xf>
    <xf numFmtId="166" fontId="9" fillId="2" borderId="0" xfId="0" applyFont="true" applyBorder="false" applyAlignment="true" applyProtection="true">
      <alignment horizontal="general" vertical="bottom" textRotation="0" wrapText="false" indent="0" shrinkToFit="false"/>
      <protection locked="true" hidden="false"/>
    </xf>
    <xf numFmtId="167" fontId="9" fillId="2" borderId="0" xfId="0" applyFont="true" applyBorder="false" applyAlignment="true" applyProtection="true">
      <alignment horizontal="general" vertical="bottom" textRotation="0" wrapText="false" indent="0" shrinkToFit="false"/>
      <protection locked="true" hidden="false"/>
    </xf>
    <xf numFmtId="168" fontId="9" fillId="2"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9" fontId="9" fillId="2" borderId="0" xfId="0" applyFont="true" applyBorder="false" applyAlignment="true" applyProtection="true">
      <alignment horizontal="general" vertical="bottom" textRotation="0" wrapText="false" indent="0" shrinkToFit="false"/>
      <protection locked="true" hidden="false"/>
    </xf>
    <xf numFmtId="169" fontId="8" fillId="0" borderId="0" xfId="0" applyFont="true" applyBorder="false" applyAlignment="true" applyProtection="true">
      <alignment horizontal="general" vertical="bottom" textRotation="0" wrapText="false" indent="0" shrinkToFit="false"/>
      <protection locked="true" hidden="false"/>
    </xf>
    <xf numFmtId="170" fontId="8"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5" fontId="11" fillId="0" borderId="0" xfId="0" applyFont="true" applyBorder="false" applyAlignment="true" applyProtection="true">
      <alignment horizontal="general" vertical="bottom" textRotation="0" wrapText="false" indent="0" shrinkToFit="false"/>
      <protection locked="true" hidden="false"/>
    </xf>
    <xf numFmtId="166" fontId="11"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7" fontId="11" fillId="0" borderId="0" xfId="0" applyFont="true" applyBorder="false" applyAlignment="true" applyProtection="true">
      <alignment horizontal="general" vertical="bottom" textRotation="0" wrapText="false" indent="0" shrinkToFit="false"/>
      <protection locked="true" hidden="false"/>
    </xf>
    <xf numFmtId="171" fontId="8"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9" fontId="6" fillId="0" borderId="0" xfId="0" applyFont="true" applyBorder="false" applyAlignment="true" applyProtection="true">
      <alignment horizontal="general" vertical="bottom" textRotation="0" wrapText="false" indent="0" shrinkToFit="false"/>
      <protection locked="true" hidden="false"/>
    </xf>
    <xf numFmtId="173" fontId="8" fillId="0" borderId="0" xfId="0" applyFont="true" applyBorder="false" applyAlignment="true" applyProtection="true">
      <alignment horizontal="general" vertical="bottom" textRotation="0" wrapText="false" indent="0" shrinkToFit="false"/>
      <protection locked="true" hidden="false"/>
    </xf>
    <xf numFmtId="173" fontId="15"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74" fontId="1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general" vertical="top" textRotation="0" wrapText="tru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19" fillId="0" borderId="0"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2E7D32"/>
      </font>
      <fill>
        <patternFill>
          <bgColor rgb="FFE2F0D9"/>
        </patternFill>
      </fill>
    </dxf>
    <dxf>
      <font>
        <name val="Arial"/>
        <charset val="1"/>
        <family val="0"/>
        <b val="1"/>
        <color rgb="FFC62828"/>
      </font>
      <fill>
        <patternFill>
          <bgColor rgb="FFFCE4E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B5C"/>
      <rgbColor rgb="FFB3B3B3"/>
      <rgbColor rgb="FF7F7F7F"/>
      <rgbColor rgb="FF9999FF"/>
      <rgbColor rgb="FF993366"/>
      <rgbColor rgb="FFFCE4E4"/>
      <rgbColor rgb="FFE0E0E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C55A11"/>
      <rgbColor rgb="FF666666"/>
      <rgbColor rgb="FF969696"/>
      <rgbColor rgb="FF1F3864"/>
      <rgbColor rgb="FF2E7D32"/>
      <rgbColor rgb="FF003300"/>
      <rgbColor rgb="FF333300"/>
      <rgbColor rgb="FFC6282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Chiffre d'affaires projeté 2026-2030 ($M)</a:t>
            </a:r>
          </a:p>
        </c:rich>
      </c:tx>
      <c:overlay val="0"/>
      <c:spPr>
        <a:noFill/>
        <a:ln w="0">
          <a:noFill/>
        </a:ln>
      </c:spPr>
    </c:title>
    <c:autoTitleDeleted val="0"/>
    <c:plotArea>
      <c:barChart>
        <c:barDir val="col"/>
        <c:grouping val="clustered"/>
        <c:varyColors val="0"/>
        <c:ser>
          <c:idx val="0"/>
          <c:order val="0"/>
          <c:tx>
            <c:strRef>
              <c:f>DCF!B5</c:f>
              <c:strCache>
                <c:ptCount val="1"/>
                <c:pt idx="0">
                  <c:v>Chiffre d'affaires ($M)</c:v>
                </c:pt>
              </c:strCache>
            </c:strRef>
          </c:tx>
          <c:spPr>
            <a:solidFill>
              <a:srgbClr val="1f3864"/>
            </a:solidFill>
            <a:ln w="0">
              <a:solidFill>
                <a:srgbClr val="1f3864"/>
              </a:solid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DCF!$C$4:$G$4</c:f>
              <c:strCache>
                <c:ptCount val="5"/>
                <c:pt idx="0">
                  <c:v>2026</c:v>
                </c:pt>
                <c:pt idx="1">
                  <c:v>2027</c:v>
                </c:pt>
                <c:pt idx="2">
                  <c:v>2028</c:v>
                </c:pt>
                <c:pt idx="3">
                  <c:v>2029</c:v>
                </c:pt>
                <c:pt idx="4">
                  <c:v>2030</c:v>
                </c:pt>
              </c:strCache>
            </c:strRef>
          </c:cat>
          <c:val>
            <c:numRef>
              <c:f>DCF!$C$5:$G$5</c:f>
              <c:numCache>
                <c:formatCode>#,##0;\(#,##0\);\-</c:formatCode>
                <c:ptCount val="5"/>
                <c:pt idx="0">
                  <c:v>107059.683</c:v>
                </c:pt>
                <c:pt idx="1">
                  <c:v>121726.859571</c:v>
                </c:pt>
                <c:pt idx="2">
                  <c:v>133899.5455281</c:v>
                </c:pt>
                <c:pt idx="3">
                  <c:v>143272.513715067</c:v>
                </c:pt>
                <c:pt idx="4">
                  <c:v>150436.13940082</c:v>
                </c:pt>
              </c:numCache>
            </c:numRef>
          </c:val>
        </c:ser>
        <c:gapWidth val="150"/>
        <c:overlap val="0"/>
        <c:axId val="41912831"/>
        <c:axId val="94447015"/>
      </c:barChart>
      <c:catAx>
        <c:axId val="4191283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4447015"/>
        <c:crosses val="autoZero"/>
        <c:auto val="1"/>
        <c:lblAlgn val="ctr"/>
        <c:lblOffset val="100"/>
        <c:noMultiLvlLbl val="0"/>
      </c:catAx>
      <c:valAx>
        <c:axId val="94447015"/>
        <c:scaling>
          <c:orientation val="minMax"/>
        </c:scaling>
        <c:delete val="0"/>
        <c:axPos val="l"/>
        <c:majorGridlines>
          <c:spPr>
            <a:ln w="9360">
              <a:solidFill>
                <a:srgbClr val="e0e0e0"/>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191283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DCF vs capitalisation boursière - valeur par action ($)</a:t>
            </a:r>
          </a:p>
        </c:rich>
      </c:tx>
      <c:overlay val="0"/>
      <c:spPr>
        <a:noFill/>
        <a:ln w="0">
          <a:noFill/>
        </a:ln>
      </c:spPr>
    </c:title>
    <c:autoTitleDeleted val="0"/>
    <c:plotArea>
      <c:barChart>
        <c:barDir val="bar"/>
        <c:grouping val="clustered"/>
        <c:varyColors val="0"/>
        <c:ser>
          <c:idx val="0"/>
          <c:order val="0"/>
          <c:spPr>
            <a:solidFill>
              <a:srgbClr val="c55a11"/>
            </a:solidFill>
            <a:ln w="0">
              <a:solidFill>
                <a:srgbClr val="c55a11"/>
              </a:solidFill>
            </a:ln>
          </c:spPr>
          <c:invertIfNegative val="0"/>
          <c:dLbls>
            <c:numFmt formatCode="#,##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'Market Gap'!$I$4:$I$5</c:f>
              <c:strCache>
                <c:ptCount val="2"/>
                <c:pt idx="0">
                  <c:v>Valeur implicite par action</c:v>
                </c:pt>
                <c:pt idx="1">
                  <c:v>Cours de marche actuel</c:v>
                </c:pt>
              </c:strCache>
            </c:strRef>
          </c:cat>
          <c:val>
            <c:numRef>
              <c:f>'Market Gap'!$J$4:$J$5</c:f>
              <c:numCache>
                <c:formatCode>#,##0.0" $"</c:formatCode>
                <c:ptCount val="2"/>
                <c:pt idx="0">
                  <c:v>45.2839586228583</c:v>
                </c:pt>
                <c:pt idx="1">
                  <c:v>379.26</c:v>
                </c:pt>
              </c:numCache>
            </c:numRef>
          </c:val>
        </c:ser>
        <c:gapWidth val="150"/>
        <c:overlap val="0"/>
        <c:axId val="31122338"/>
        <c:axId val="97733729"/>
      </c:barChart>
      <c:catAx>
        <c:axId val="3112233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7733729"/>
        <c:crosses val="autoZero"/>
        <c:auto val="1"/>
        <c:lblAlgn val="ctr"/>
        <c:lblOffset val="100"/>
        <c:noMultiLvlLbl val="0"/>
      </c:catAx>
      <c:valAx>
        <c:axId val="97733729"/>
        <c:scaling>
          <c:orientation val="minMax"/>
        </c:scaling>
        <c:delete val="0"/>
        <c:axPos val="l"/>
        <c:majorGridlines>
          <c:spPr>
            <a:ln w="9360">
              <a:solidFill>
                <a:srgbClr val="e0e0e0"/>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$/action</a:t>
                </a:r>
              </a:p>
            </c:rich>
          </c:tx>
          <c:overlay val="0"/>
          <c:spPr>
            <a:noFill/>
            <a:ln w="0">
              <a:noFill/>
            </a:ln>
          </c:spPr>
        </c:title>
        <c:numFmt formatCode="#,##0.0&quot; $&quot;"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112233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0</xdr:rowOff>
    </xdr:from>
    <xdr:to>
      <xdr:col>17</xdr:col>
      <xdr:colOff>249480</xdr:colOff>
      <xdr:row>18</xdr:row>
      <xdr:rowOff>15840</xdr:rowOff>
    </xdr:to>
    <xdr:graphicFrame>
      <xdr:nvGraphicFramePr>
        <xdr:cNvPr id="0" name="Chart 1"/>
        <xdr:cNvGraphicFramePr/>
      </xdr:nvGraphicFramePr>
      <xdr:xfrm>
        <a:off x="9328680" y="600120"/>
        <a:ext cx="5753160" cy="2873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6</xdr:row>
      <xdr:rowOff>0</xdr:rowOff>
    </xdr:from>
    <xdr:to>
      <xdr:col>17</xdr:col>
      <xdr:colOff>249840</xdr:colOff>
      <xdr:row>17</xdr:row>
      <xdr:rowOff>15480</xdr:rowOff>
    </xdr:to>
    <xdr:graphicFrame>
      <xdr:nvGraphicFramePr>
        <xdr:cNvPr id="1" name="Chart 1"/>
        <xdr:cNvGraphicFramePr/>
      </xdr:nvGraphicFramePr>
      <xdr:xfrm>
        <a:off x="10976760" y="1171440"/>
        <a:ext cx="5753160" cy="2873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34"/>
    <col collapsed="false" customWidth="true" hidden="false" outlineLevel="0" max="3" min="3" style="1" width="62"/>
  </cols>
  <sheetData>
    <row r="2" customFormat="false" ht="17.25" hidden="false" customHeight="true" outlineLevel="0" collapsed="false">
      <c r="B2" s="2" t="s">
        <v>0</v>
      </c>
    </row>
    <row r="3" customFormat="false" ht="15" hidden="false" customHeight="true" outlineLevel="0" collapsed="false">
      <c r="B3" s="3" t="s">
        <v>1</v>
      </c>
    </row>
    <row r="5" customFormat="false" ht="15" hidden="false" customHeight="true" outlineLevel="0" collapsed="false">
      <c r="B5" s="4" t="s">
        <v>2</v>
      </c>
    </row>
    <row r="7" customFormat="false" ht="15" hidden="false" customHeight="true" outlineLevel="0" collapsed="false">
      <c r="B7" s="5" t="s">
        <v>3</v>
      </c>
      <c r="C7" s="6" t="s">
        <v>4</v>
      </c>
    </row>
    <row r="8" customFormat="false" ht="15" hidden="false" customHeight="true" outlineLevel="0" collapsed="false">
      <c r="B8" s="5" t="s">
        <v>5</v>
      </c>
      <c r="C8" s="6" t="s">
        <v>6</v>
      </c>
    </row>
    <row r="9" customFormat="false" ht="15" hidden="false" customHeight="true" outlineLevel="0" collapsed="false">
      <c r="B9" s="5" t="s">
        <v>7</v>
      </c>
      <c r="C9" s="6" t="s">
        <v>8</v>
      </c>
    </row>
    <row r="10" customFormat="false" ht="15" hidden="false" customHeight="true" outlineLevel="0" collapsed="false">
      <c r="B10" s="5" t="s">
        <v>9</v>
      </c>
      <c r="C10" s="6" t="s">
        <v>10</v>
      </c>
    </row>
    <row r="13" customFormat="false" ht="15" hidden="false" customHeight="true" outlineLevel="0" collapsed="false">
      <c r="B13" s="4" t="s">
        <v>11</v>
      </c>
    </row>
    <row r="14" customFormat="false" ht="15" hidden="false" customHeight="true" outlineLevel="0" collapsed="false">
      <c r="B14" s="3" t="s">
        <v>12</v>
      </c>
    </row>
    <row r="15" customFormat="false" ht="15" hidden="false" customHeight="true" outlineLevel="0" collapsed="false">
      <c r="B15" s="3" t="s">
        <v>13</v>
      </c>
    </row>
    <row r="16" customFormat="false" ht="15" hidden="false" customHeight="true" outlineLevel="0" collapsed="false">
      <c r="B16" s="3" t="s">
        <v>14</v>
      </c>
    </row>
  </sheetData>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46"/>
    <col collapsed="false" customWidth="true" hidden="false" outlineLevel="0" max="4" min="3" style="1" width="13"/>
    <col collapsed="false" customWidth="true" hidden="false" outlineLevel="0" max="5" min="5" style="1" width="46"/>
    <col collapsed="false" customWidth="true" hidden="false" outlineLevel="0" max="7" min="6" style="1" width="13"/>
  </cols>
  <sheetData>
    <row r="2" customFormat="false" ht="17.25" hidden="false" customHeight="true" outlineLevel="0" collapsed="false">
      <c r="B2" s="2" t="s">
        <v>15</v>
      </c>
    </row>
    <row r="4" customFormat="false" ht="15" hidden="false" customHeight="true" outlineLevel="0" collapsed="false">
      <c r="B4" s="4" t="s">
        <v>16</v>
      </c>
    </row>
    <row r="5" customFormat="false" ht="15" hidden="false" customHeight="true" outlineLevel="0" collapsed="false">
      <c r="B5" s="6" t="s">
        <v>17</v>
      </c>
      <c r="C5" s="7" t="n">
        <v>94827</v>
      </c>
      <c r="E5" s="3" t="s">
        <v>18</v>
      </c>
    </row>
    <row r="6" customFormat="false" ht="15" hidden="false" customHeight="true" outlineLevel="0" collapsed="false">
      <c r="B6" s="6" t="s">
        <v>19</v>
      </c>
      <c r="C6" s="7" t="n">
        <v>14596</v>
      </c>
      <c r="E6" s="3" t="s">
        <v>20</v>
      </c>
    </row>
    <row r="7" customFormat="false" ht="15" hidden="false" customHeight="true" outlineLevel="0" collapsed="false">
      <c r="B7" s="6" t="s">
        <v>21</v>
      </c>
      <c r="C7" s="7" t="n">
        <v>6220</v>
      </c>
      <c r="E7" s="3" t="s">
        <v>22</v>
      </c>
    </row>
    <row r="8" customFormat="false" ht="15" hidden="false" customHeight="true" outlineLevel="0" collapsed="false">
      <c r="B8" s="6" t="s">
        <v>23</v>
      </c>
      <c r="C8" s="7" t="n">
        <v>44059</v>
      </c>
      <c r="E8" s="3" t="s">
        <v>24</v>
      </c>
    </row>
    <row r="9" customFormat="false" ht="15" hidden="false" customHeight="true" outlineLevel="0" collapsed="false">
      <c r="B9" s="6" t="s">
        <v>25</v>
      </c>
      <c r="C9" s="7" t="n">
        <v>8376</v>
      </c>
      <c r="E9" s="3" t="s">
        <v>24</v>
      </c>
    </row>
    <row r="10" customFormat="false" ht="15" hidden="false" customHeight="true" outlineLevel="0" collapsed="false">
      <c r="B10" s="6" t="s">
        <v>26</v>
      </c>
      <c r="C10" s="8" t="n">
        <v>3752.4</v>
      </c>
      <c r="E10" s="3" t="s">
        <v>27</v>
      </c>
    </row>
    <row r="11" customFormat="false" ht="15" hidden="false" customHeight="true" outlineLevel="0" collapsed="false">
      <c r="B11" s="6" t="s">
        <v>28</v>
      </c>
      <c r="C11" s="9" t="n">
        <v>379.26</v>
      </c>
      <c r="E11" s="3" t="s">
        <v>29</v>
      </c>
    </row>
    <row r="12" customFormat="false" ht="15" hidden="false" customHeight="true" outlineLevel="0" collapsed="false">
      <c r="B12" s="6" t="s">
        <v>30</v>
      </c>
      <c r="C12" s="7" t="n">
        <v>1500000</v>
      </c>
      <c r="E12" s="3" t="s">
        <v>31</v>
      </c>
    </row>
    <row r="13" customFormat="false" ht="15" hidden="false" customHeight="true" outlineLevel="0" collapsed="false">
      <c r="B13" s="6" t="s">
        <v>32</v>
      </c>
      <c r="C13" s="10" t="n">
        <v>1.92</v>
      </c>
      <c r="E13" s="3" t="s">
        <v>29</v>
      </c>
    </row>
    <row r="15" customFormat="false" ht="15" hidden="false" customHeight="true" outlineLevel="0" collapsed="false">
      <c r="B15" s="6" t="s">
        <v>33</v>
      </c>
      <c r="C15" s="11" t="n">
        <f aca="false">C8-C9</f>
        <v>35683</v>
      </c>
      <c r="E15" s="3" t="s">
        <v>34</v>
      </c>
    </row>
    <row r="18" customFormat="false" ht="15" hidden="false" customHeight="true" outlineLevel="0" collapsed="false">
      <c r="B18" s="4" t="s">
        <v>35</v>
      </c>
    </row>
    <row r="19" customFormat="false" ht="15" hidden="false" customHeight="true" outlineLevel="0" collapsed="false">
      <c r="B19" s="6" t="s">
        <v>36</v>
      </c>
      <c r="C19" s="12" t="n">
        <v>0.0415</v>
      </c>
      <c r="E19" s="3" t="s">
        <v>37</v>
      </c>
    </row>
    <row r="20" customFormat="false" ht="15" hidden="false" customHeight="true" outlineLevel="0" collapsed="false">
      <c r="B20" s="6" t="s">
        <v>38</v>
      </c>
      <c r="C20" s="12" t="n">
        <v>0.05</v>
      </c>
      <c r="E20" s="3" t="s">
        <v>39</v>
      </c>
    </row>
    <row r="21" customFormat="false" ht="15" hidden="false" customHeight="true" outlineLevel="0" collapsed="false">
      <c r="B21" s="6" t="s">
        <v>40</v>
      </c>
      <c r="C21" s="10" t="n">
        <v>1.92</v>
      </c>
      <c r="E21" s="3" t="s">
        <v>29</v>
      </c>
    </row>
    <row r="22" customFormat="false" ht="15" hidden="false" customHeight="true" outlineLevel="0" collapsed="false">
      <c r="B22" s="6" t="s">
        <v>41</v>
      </c>
      <c r="C22" s="13" t="n">
        <f aca="false">C19+C21*C20</f>
        <v>0.1375</v>
      </c>
    </row>
    <row r="23" customFormat="false" ht="15" hidden="false" customHeight="true" outlineLevel="0" collapsed="false">
      <c r="B23" s="6" t="s">
        <v>42</v>
      </c>
      <c r="C23" s="12" t="n">
        <v>0.135</v>
      </c>
      <c r="E23" s="3" t="s">
        <v>43</v>
      </c>
    </row>
    <row r="24" customFormat="false" ht="15" hidden="false" customHeight="true" outlineLevel="0" collapsed="false">
      <c r="B24" s="6" t="s">
        <v>44</v>
      </c>
      <c r="C24" s="12" t="n">
        <v>0.03</v>
      </c>
      <c r="E24" s="3" t="s">
        <v>45</v>
      </c>
    </row>
    <row r="27" customFormat="false" ht="15" hidden="false" customHeight="true" outlineLevel="0" collapsed="false">
      <c r="B27" s="4" t="s">
        <v>46</v>
      </c>
    </row>
    <row r="28" customFormat="false" ht="15" hidden="false" customHeight="true" outlineLevel="0" collapsed="false">
      <c r="B28" s="6" t="s">
        <v>47</v>
      </c>
      <c r="C28" s="4" t="s">
        <v>48</v>
      </c>
      <c r="D28" s="4" t="s">
        <v>49</v>
      </c>
      <c r="E28" s="4" t="s">
        <v>50</v>
      </c>
      <c r="F28" s="4" t="s">
        <v>51</v>
      </c>
      <c r="G28" s="4" t="s">
        <v>52</v>
      </c>
    </row>
    <row r="29" customFormat="false" ht="15" hidden="false" customHeight="true" outlineLevel="0" collapsed="false">
      <c r="B29" s="6" t="s">
        <v>53</v>
      </c>
      <c r="C29" s="12" t="n">
        <v>0.129</v>
      </c>
      <c r="D29" s="12" t="n">
        <v>0.137</v>
      </c>
      <c r="E29" s="12" t="n">
        <v>0.1</v>
      </c>
      <c r="F29" s="12" t="n">
        <v>0.07</v>
      </c>
      <c r="G29" s="12" t="n">
        <v>0.05</v>
      </c>
    </row>
    <row r="30" customFormat="false" ht="15" hidden="false" customHeight="true" outlineLevel="0" collapsed="false">
      <c r="B30" s="6" t="s">
        <v>54</v>
      </c>
      <c r="C30" s="12" t="n">
        <v>0.07</v>
      </c>
      <c r="D30" s="12" t="n">
        <v>0.08</v>
      </c>
      <c r="E30" s="12" t="n">
        <v>0.09</v>
      </c>
      <c r="F30" s="12" t="n">
        <v>0.1</v>
      </c>
      <c r="G30" s="12" t="n">
        <v>0.11</v>
      </c>
    </row>
    <row r="32" customFormat="false" ht="15" hidden="false" customHeight="true" outlineLevel="0" collapsed="false">
      <c r="B32" s="3" t="s">
        <v>55</v>
      </c>
    </row>
    <row r="33" customFormat="false" ht="15" hidden="false" customHeight="true" outlineLevel="0" collapsed="false">
      <c r="B33" s="3" t="s">
        <v>56</v>
      </c>
    </row>
    <row r="34" customFormat="false" ht="15" hidden="false" customHeight="true" outlineLevel="0" collapsed="false">
      <c r="B34" s="3" t="s">
        <v>57</v>
      </c>
    </row>
  </sheetData>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2" style="1" width="50"/>
    <col collapsed="false" customWidth="true" hidden="false" outlineLevel="0" max="7" min="3" style="1" width="13"/>
  </cols>
  <sheetData>
    <row r="2" customFormat="false" ht="17.25" hidden="false" customHeight="true" outlineLevel="0" collapsed="false">
      <c r="B2" s="2" t="s">
        <v>58</v>
      </c>
    </row>
    <row r="4" customFormat="false" ht="15" hidden="false" customHeight="true" outlineLevel="0" collapsed="false">
      <c r="B4" s="6" t="s">
        <v>47</v>
      </c>
      <c r="C4" s="4" t="s">
        <v>48</v>
      </c>
      <c r="D4" s="4" t="s">
        <v>49</v>
      </c>
      <c r="E4" s="4" t="s">
        <v>50</v>
      </c>
      <c r="F4" s="4" t="s">
        <v>51</v>
      </c>
      <c r="G4" s="4" t="s">
        <v>52</v>
      </c>
    </row>
    <row r="5" customFormat="false" ht="15" hidden="false" customHeight="true" outlineLevel="0" collapsed="false">
      <c r="B5" s="6" t="s">
        <v>59</v>
      </c>
      <c r="C5" s="11" t="n">
        <f aca="false">Assumptions!$C$5*(1+Assumptions!C29)</f>
        <v>107059.683</v>
      </c>
      <c r="D5" s="11" t="n">
        <f aca="false">C5*(1+Assumptions!D29)</f>
        <v>121726.859571</v>
      </c>
      <c r="E5" s="11" t="n">
        <f aca="false">D5*(1+Assumptions!E29)</f>
        <v>133899.5455281</v>
      </c>
      <c r="F5" s="11" t="n">
        <f aca="false">E5*(1+Assumptions!F29)</f>
        <v>143272.513715067</v>
      </c>
      <c r="G5" s="11" t="n">
        <f aca="false">F5*(1+Assumptions!G29)</f>
        <v>150436.13940082</v>
      </c>
    </row>
    <row r="6" customFormat="false" ht="15" hidden="false" customHeight="true" outlineLevel="0" collapsed="false">
      <c r="B6" s="6" t="s">
        <v>60</v>
      </c>
      <c r="C6" s="13" t="n">
        <f aca="false">Assumptions!C30</f>
        <v>0.07</v>
      </c>
      <c r="D6" s="13" t="n">
        <f aca="false">Assumptions!D30</f>
        <v>0.08</v>
      </c>
      <c r="E6" s="13" t="n">
        <f aca="false">Assumptions!E30</f>
        <v>0.09</v>
      </c>
      <c r="F6" s="13" t="n">
        <f aca="false">Assumptions!F30</f>
        <v>0.1</v>
      </c>
      <c r="G6" s="13" t="n">
        <f aca="false">Assumptions!G30</f>
        <v>0.11</v>
      </c>
    </row>
    <row r="7" customFormat="false" ht="15" hidden="false" customHeight="true" outlineLevel="0" collapsed="false">
      <c r="B7" s="6" t="s">
        <v>61</v>
      </c>
      <c r="C7" s="11" t="n">
        <f aca="false">C5*C6</f>
        <v>7494.17781</v>
      </c>
      <c r="D7" s="11" t="n">
        <f aca="false">D5*D6</f>
        <v>9738.14876568</v>
      </c>
      <c r="E7" s="11" t="n">
        <f aca="false">E5*E6</f>
        <v>12050.959097529</v>
      </c>
      <c r="F7" s="11" t="n">
        <f aca="false">F5*F6</f>
        <v>14327.2513715067</v>
      </c>
      <c r="G7" s="11" t="n">
        <f aca="false">G5*G6</f>
        <v>16547.9753340902</v>
      </c>
    </row>
    <row r="9" customFormat="false" ht="15" hidden="false" customHeight="true" outlineLevel="0" collapsed="false">
      <c r="B9" s="6" t="s">
        <v>62</v>
      </c>
      <c r="C9" s="14" t="n">
        <f aca="false">1/(1+Assumptions!$C$23)^0.5</f>
        <v>0.938646508927864</v>
      </c>
      <c r="D9" s="14" t="n">
        <f aca="false">1/(1+Assumptions!$C$23)^1.5</f>
        <v>0.827001329451863</v>
      </c>
      <c r="E9" s="14" t="n">
        <f aca="false">1/(1+Assumptions!$C$23)^2.5</f>
        <v>0.728635532556707</v>
      </c>
      <c r="F9" s="14" t="n">
        <f aca="false">1/(1+Assumptions!$C$23)^3.5</f>
        <v>0.641969632208553</v>
      </c>
      <c r="G9" s="14" t="n">
        <f aca="false">1/(1+Assumptions!$C$23)^4.5</f>
        <v>0.565612010756434</v>
      </c>
    </row>
    <row r="10" customFormat="false" ht="15" hidden="false" customHeight="true" outlineLevel="0" collapsed="false">
      <c r="B10" s="6" t="s">
        <v>63</v>
      </c>
      <c r="C10" s="11" t="n">
        <f aca="false">C7*C9</f>
        <v>7034.38383864117</v>
      </c>
      <c r="D10" s="11" t="n">
        <f aca="false">D7*D9</f>
        <v>8053.46197561738</v>
      </c>
      <c r="E10" s="11" t="n">
        <f aca="false">E7*E9</f>
        <v>8780.75699984714</v>
      </c>
      <c r="F10" s="11" t="n">
        <f aca="false">F7*F9</f>
        <v>9197.66029352564</v>
      </c>
      <c r="G10" s="11" t="n">
        <f aca="false">G7*G9</f>
        <v>9359.73360266266</v>
      </c>
    </row>
    <row r="12" customFormat="false" ht="15" hidden="false" customHeight="true" outlineLevel="0" collapsed="false">
      <c r="B12" s="6" t="s">
        <v>64</v>
      </c>
      <c r="C12" s="11" t="n">
        <f aca="false">SUM(C10:G10)</f>
        <v>42425.996710294</v>
      </c>
    </row>
    <row r="14" customFormat="false" ht="15" hidden="false" customHeight="true" outlineLevel="0" collapsed="false">
      <c r="B14" s="6" t="s">
        <v>65</v>
      </c>
      <c r="C14" s="11" t="n">
        <f aca="false">G7*(1+Assumptions!$C$24)/(Assumptions!$C$23-Assumptions!$C$24)</f>
        <v>162327.758039171</v>
      </c>
    </row>
    <row r="15" customFormat="false" ht="15" hidden="false" customHeight="true" outlineLevel="0" collapsed="false">
      <c r="B15" s="6" t="s">
        <v>66</v>
      </c>
      <c r="C15" s="11" t="n">
        <f aca="false">C14*G9</f>
        <v>91814.5296261194</v>
      </c>
    </row>
    <row r="17" customFormat="false" ht="15" hidden="false" customHeight="true" outlineLevel="0" collapsed="false">
      <c r="B17" s="6" t="s">
        <v>67</v>
      </c>
      <c r="C17" s="15" t="n">
        <f aca="false">C12+C15</f>
        <v>134240.526336413</v>
      </c>
    </row>
    <row r="18" customFormat="false" ht="15" hidden="false" customHeight="true" outlineLevel="0" collapsed="false">
      <c r="B18" s="6" t="s">
        <v>68</v>
      </c>
      <c r="C18" s="16" t="n">
        <f aca="false">Assumptions!C15</f>
        <v>35683</v>
      </c>
    </row>
    <row r="19" customFormat="false" ht="15" hidden="false" customHeight="true" outlineLevel="0" collapsed="false">
      <c r="B19" s="6" t="s">
        <v>69</v>
      </c>
      <c r="C19" s="15" t="n">
        <f aca="false">C17+C18</f>
        <v>169923.526336413</v>
      </c>
    </row>
    <row r="20" customFormat="false" ht="15" hidden="false" customHeight="true" outlineLevel="0" collapsed="false">
      <c r="B20" s="6" t="s">
        <v>70</v>
      </c>
      <c r="C20" s="17" t="n">
        <f aca="false">Assumptions!C10</f>
        <v>3752.4</v>
      </c>
    </row>
    <row r="21" customFormat="false" ht="15" hidden="false" customHeight="true" outlineLevel="0" collapsed="false">
      <c r="B21" s="6" t="s">
        <v>71</v>
      </c>
      <c r="C21" s="18" t="n">
        <f aca="false">C19/C20</f>
        <v>45.2839586228583</v>
      </c>
    </row>
    <row r="22" customFormat="false" ht="15" hidden="false" customHeight="true" outlineLevel="0" collapsed="false">
      <c r="B22" s="6" t="s">
        <v>72</v>
      </c>
      <c r="C22" s="19" t="n">
        <f aca="false">Assumptions!C11</f>
        <v>379.26</v>
      </c>
    </row>
    <row r="23" customFormat="false" ht="15" hidden="false" customHeight="true" outlineLevel="0" collapsed="false">
      <c r="B23" s="6" t="s">
        <v>73</v>
      </c>
      <c r="C23" s="13" t="n">
        <f aca="false">C21/C22-1</f>
        <v>-0.880599170429631</v>
      </c>
    </row>
    <row r="24" customFormat="false" ht="15" hidden="false" customHeight="true" outlineLevel="0" collapsed="false">
      <c r="B24" s="6" t="s">
        <v>74</v>
      </c>
      <c r="C24" s="20" t="n">
        <f aca="false">C17/Assumptions!C6</f>
        <v>9.1970763453284</v>
      </c>
    </row>
    <row r="25" customFormat="false" ht="15" hidden="false" customHeight="true" outlineLevel="0" collapsed="false">
      <c r="B25" s="6" t="s">
        <v>75</v>
      </c>
      <c r="C25" s="20" t="n">
        <f aca="false">(Assumptions!C12-Assumptions!C15)/Assumptions!C6</f>
        <v>100.323170731707</v>
      </c>
    </row>
    <row r="27" customFormat="false" ht="15" hidden="false" customHeight="true" outlineLevel="0" collapsed="false">
      <c r="B27" s="21" t="s">
        <v>76</v>
      </c>
      <c r="C27" s="21"/>
      <c r="D27" s="21"/>
      <c r="E27" s="21"/>
      <c r="F27" s="21"/>
      <c r="G27" s="21"/>
    </row>
    <row r="28" customFormat="false" ht="15" hidden="false" customHeight="true" outlineLevel="0" collapsed="false">
      <c r="B28" s="21"/>
      <c r="C28" s="21"/>
      <c r="D28" s="21"/>
      <c r="E28" s="21"/>
      <c r="F28" s="21"/>
      <c r="G28" s="21"/>
    </row>
    <row r="29" customFormat="false" ht="15" hidden="false" customHeight="true" outlineLevel="0" collapsed="false">
      <c r="B29" s="21"/>
      <c r="C29" s="21"/>
      <c r="D29" s="21"/>
      <c r="E29" s="21"/>
      <c r="F29" s="21"/>
      <c r="G29" s="21"/>
    </row>
    <row r="30" customFormat="false" ht="15" hidden="false" customHeight="true" outlineLevel="0" collapsed="false">
      <c r="B30" s="21"/>
      <c r="C30" s="21"/>
      <c r="D30" s="21"/>
      <c r="E30" s="21"/>
      <c r="F30" s="21"/>
      <c r="G30" s="21"/>
    </row>
    <row r="32" customFormat="false" ht="15" hidden="false" customHeight="true" outlineLevel="0" collapsed="false">
      <c r="B32" s="4" t="s">
        <v>77</v>
      </c>
      <c r="C32" s="4"/>
      <c r="D32" s="4"/>
      <c r="E32" s="4"/>
      <c r="F32" s="4"/>
      <c r="G32" s="4"/>
    </row>
    <row r="33" customFormat="false" ht="15" hidden="false" customHeight="true" outlineLevel="0" collapsed="false">
      <c r="B33" s="6" t="s">
        <v>78</v>
      </c>
      <c r="C33" s="13" t="n">
        <f aca="false">Assumptions!C6/Assumptions!C5</f>
        <v>0.153922406065783</v>
      </c>
    </row>
    <row r="34" customFormat="false" ht="15" hidden="false" customHeight="true" outlineLevel="0" collapsed="false">
      <c r="B34" s="6" t="s">
        <v>79</v>
      </c>
      <c r="C34" s="11" t="n">
        <f aca="false">G5*C33</f>
        <v>23155.4925358218</v>
      </c>
    </row>
    <row r="35" customFormat="false" ht="15" hidden="false" customHeight="true" outlineLevel="0" collapsed="false">
      <c r="B35" s="6" t="s">
        <v>80</v>
      </c>
      <c r="C35" s="20" t="n">
        <f aca="false">C14/C34</f>
        <v>7.01033492541988</v>
      </c>
    </row>
    <row r="36" customFormat="false" ht="15" hidden="false" customHeight="true" outlineLevel="0" collapsed="false">
      <c r="B36" s="6" t="s">
        <v>81</v>
      </c>
      <c r="C36" s="20" t="n">
        <f aca="false">C24</f>
        <v>9.1970763453284</v>
      </c>
    </row>
    <row r="38" customFormat="false" ht="15.75" hidden="false" customHeight="true" outlineLevel="0" collapsed="false">
      <c r="B38" s="21" t="s">
        <v>82</v>
      </c>
      <c r="C38" s="21"/>
      <c r="D38" s="21"/>
      <c r="E38" s="21"/>
      <c r="F38" s="21"/>
      <c r="G38" s="21"/>
    </row>
    <row r="39" customFormat="false" ht="15.75" hidden="false" customHeight="true" outlineLevel="0" collapsed="false">
      <c r="B39" s="21"/>
      <c r="C39" s="21"/>
      <c r="D39" s="21"/>
      <c r="E39" s="21"/>
      <c r="F39" s="21"/>
      <c r="G39" s="21"/>
    </row>
    <row r="40" customFormat="false" ht="15.75" hidden="false" customHeight="true" outlineLevel="0" collapsed="false">
      <c r="B40" s="21"/>
      <c r="C40" s="21"/>
      <c r="D40" s="21"/>
      <c r="E40" s="21"/>
      <c r="F40" s="21"/>
      <c r="G40" s="21"/>
    </row>
    <row r="41" customFormat="false" ht="15.75" hidden="false" customHeight="true" outlineLevel="0" collapsed="false">
      <c r="B41" s="21"/>
      <c r="C41" s="21"/>
      <c r="D41" s="21"/>
      <c r="E41" s="21"/>
      <c r="F41" s="21"/>
      <c r="G41" s="21"/>
    </row>
  </sheetData>
  <mergeCells count="2">
    <mergeCell ref="B27:G30"/>
    <mergeCell ref="B38:G41"/>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rowBreaks count="1" manualBreakCount="1">
    <brk id="30" man="true" max="16383" min="0"/>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16"/>
    <col collapsed="false" customWidth="true" hidden="false" outlineLevel="0" max="7" min="3" style="1" width="11"/>
  </cols>
  <sheetData>
    <row r="2" customFormat="false" ht="17.25" hidden="false" customHeight="true" outlineLevel="0" collapsed="false">
      <c r="B2" s="2" t="s">
        <v>83</v>
      </c>
    </row>
    <row r="4" customFormat="false" ht="15" hidden="false" customHeight="true" outlineLevel="0" collapsed="false">
      <c r="B4" s="4" t="s">
        <v>84</v>
      </c>
      <c r="C4" s="22" t="n">
        <v>0.02</v>
      </c>
      <c r="D4" s="22" t="n">
        <v>0.025</v>
      </c>
      <c r="E4" s="22" t="n">
        <v>0.03</v>
      </c>
      <c r="F4" s="22" t="n">
        <v>0.035</v>
      </c>
    </row>
    <row r="5" customFormat="false" ht="15" hidden="false" customHeight="true" outlineLevel="0" collapsed="false">
      <c r="B5" s="22" t="n">
        <v>0.11</v>
      </c>
      <c r="C5" s="23" t="n">
        <f aca="false">(SUMPRODUCT(DCF!$C$7:$G$7,1/(1+$B5)^{0.5,1.5,2.5,3.5,4.5})+DCF!$G$7*(1+C$4)/($B5-C$4)/(1+$B5)^4.5+Assumptions!$C$15)/Assumptions!$C$10</f>
        <v>52.7546008423604</v>
      </c>
      <c r="D5" s="23" t="n">
        <f aca="false">(SUMPRODUCT(DCF!$C$7:$G$7,1/(1+$B5)^{0.5,1.5,2.5,3.5,4.5})+DCF!$G$7*(1+D$4)/($B5-D$4)/(1+$B5)^4.5+Assumptions!$C$15)/Assumptions!$C$10</f>
        <v>54.7549871859946</v>
      </c>
      <c r="E5" s="23" t="n">
        <f aca="false">(SUMPRODUCT(DCF!$C$7:$G$7,1/(1+$B5)^{0.5,1.5,2.5,3.5,4.5})+DCF!$G$7*(1+E$4)/($B5-E$4)/(1+$B5)^4.5+Assumptions!$C$15)/Assumptions!$C$10</f>
        <v>57.0054218225831</v>
      </c>
      <c r="F5" s="23" t="n">
        <f aca="false">(SUMPRODUCT(DCF!$C$7:$G$7,1/(1+$B5)^{0.5,1.5,2.5,3.5,4.5})+DCF!$G$7*(1+F$4)/($B5-F$4)/(1+$B5)^4.5+Assumptions!$C$15)/Assumptions!$C$10</f>
        <v>59.5559144107167</v>
      </c>
    </row>
    <row r="6" customFormat="false" ht="15" hidden="false" customHeight="true" outlineLevel="0" collapsed="false">
      <c r="B6" s="22" t="n">
        <v>0.12</v>
      </c>
      <c r="C6" s="23" t="n">
        <f aca="false">(SUMPRODUCT(DCF!$C$7:$G$7,1/(1+$B6)^{0.5,1.5,2.5,3.5,4.5})+DCF!$G$7*(1+C$4)/($B6-C$4)/(1+$B6)^4.5+Assumptions!$C$15)/Assumptions!$C$10</f>
        <v>48.2332578055211</v>
      </c>
      <c r="D6" s="23" t="n">
        <f aca="false">(SUMPRODUCT(DCF!$C$7:$G$7,1/(1+$B6)^{0.5,1.5,2.5,3.5,4.5})+DCF!$G$7*(1+D$4)/($B6-D$4)/(1+$B6)^4.5+Assumptions!$C$15)/Assumptions!$C$10</f>
        <v>49.7943158703075</v>
      </c>
      <c r="E6" s="23" t="n">
        <f aca="false">(SUMPRODUCT(DCF!$C$7:$G$7,1/(1+$B6)^{0.5,1.5,2.5,3.5,4.5})+DCF!$G$7*(1+E$4)/($B6-E$4)/(1+$B6)^4.5+Assumptions!$C$15)/Assumptions!$C$10</f>
        <v>51.5288248311812</v>
      </c>
      <c r="F6" s="23" t="n">
        <f aca="false">(SUMPRODUCT(DCF!$C$7:$G$7,1/(1+$B6)^{0.5,1.5,2.5,3.5,4.5})+DCF!$G$7*(1+F$4)/($B6-F$4)/(1+$B6)^4.5+Assumptions!$C$15)/Assumptions!$C$10</f>
        <v>53.4673936698048</v>
      </c>
    </row>
    <row r="7" customFormat="false" ht="15" hidden="false" customHeight="true" outlineLevel="0" collapsed="false">
      <c r="B7" s="22" t="n">
        <v>0.125</v>
      </c>
      <c r="C7" s="23" t="n">
        <f aca="false">(SUMPRODUCT(DCF!$C$7:$G$7,1/(1+$B7)^{0.5,1.5,2.5,3.5,4.5})+DCF!$G$7*(1+C$4)/($B7-C$4)/(1+$B7)^4.5+Assumptions!$C$15)/Assumptions!$C$10</f>
        <v>46.2986050957631</v>
      </c>
      <c r="D7" s="23" t="n">
        <f aca="false">(SUMPRODUCT(DCF!$C$7:$G$7,1/(1+$B7)^{0.5,1.5,2.5,3.5,4.5})+DCF!$G$7*(1+D$4)/($B7-D$4)/(1+$B7)^4.5+Assumptions!$C$15)/Assumptions!$C$10</f>
        <v>47.6891423040141</v>
      </c>
      <c r="E7" s="23" t="n">
        <f aca="false">(SUMPRODUCT(DCF!$C$7:$G$7,1/(1+$B7)^{0.5,1.5,2.5,3.5,4.5})+DCF!$G$7*(1+E$4)/($B7-E$4)/(1+$B7)^4.5+Assumptions!$C$15)/Assumptions!$C$10</f>
        <v>49.2260518499757</v>
      </c>
      <c r="F7" s="23" t="n">
        <f aca="false">(SUMPRODUCT(DCF!$C$7:$G$7,1/(1+$B7)^{0.5,1.5,2.5,3.5,4.5})+DCF!$G$7*(1+F$4)/($B7-F$4)/(1+$B7)^4.5+Assumptions!$C$15)/Assumptions!$C$10</f>
        <v>50.9337291232664</v>
      </c>
    </row>
    <row r="8" customFormat="false" ht="15" hidden="false" customHeight="true" outlineLevel="0" collapsed="false">
      <c r="B8" s="22" t="n">
        <v>0.135</v>
      </c>
      <c r="C8" s="24" t="n">
        <f aca="false">(SUMPRODUCT(DCF!$C$7:$G$7,1/(1+$B8)^{0.5,1.5,2.5,3.5,4.5})+DCF!$G$7*(1+C$4)/($B8-C$4)/(1+$B8)^4.5+Assumptions!$C$15)/Assumptions!$C$10</f>
        <v>42.939389275269</v>
      </c>
      <c r="D8" s="24" t="n">
        <f aca="false">(SUMPRODUCT(DCF!$C$7:$G$7,1/(1+$B8)^{0.5,1.5,2.5,3.5,4.5})+DCF!$G$7*(1+D$4)/($B8-D$4)/(1+$B8)^4.5+Assumptions!$C$15)/Assumptions!$C$10</f>
        <v>44.0583882820729</v>
      </c>
      <c r="E8" s="24" t="n">
        <f aca="false">(SUMPRODUCT(DCF!$C$7:$G$7,1/(1+$B8)^{0.5,1.5,2.5,3.5,4.5})+DCF!$G$7*(1+E$4)/($B8-E$4)/(1+$B8)^4.5+Assumptions!$C$15)/Assumptions!$C$10</f>
        <v>45.2839586228583</v>
      </c>
      <c r="F8" s="24" t="n">
        <f aca="false">(SUMPRODUCT(DCF!$C$7:$G$7,1/(1+$B8)^{0.5,1.5,2.5,3.5,4.5})+DCF!$G$7*(1+F$4)/($B8-F$4)/(1+$B8)^4.5+Assumptions!$C$15)/Assumptions!$C$10</f>
        <v>46.6320859977221</v>
      </c>
    </row>
    <row r="9" customFormat="false" ht="15" hidden="false" customHeight="true" outlineLevel="0" collapsed="false">
      <c r="B9" s="22" t="n">
        <v>0.14</v>
      </c>
      <c r="C9" s="23" t="n">
        <f aca="false">(SUMPRODUCT(DCF!$C$7:$G$7,1/(1+$B9)^{0.5,1.5,2.5,3.5,4.5})+DCF!$G$7*(1+C$4)/($B9-C$4)/(1+$B9)^4.5+Assumptions!$C$15)/Assumptions!$C$10</f>
        <v>41.4722447565875</v>
      </c>
      <c r="D9" s="23" t="n">
        <f aca="false">(SUMPRODUCT(DCF!$C$7:$G$7,1/(1+$B9)^{0.5,1.5,2.5,3.5,4.5})+DCF!$G$7*(1+D$4)/($B9-D$4)/(1+$B9)^4.5+Assumptions!$C$15)/Assumptions!$C$10</f>
        <v>42.4823338362095</v>
      </c>
      <c r="E9" s="23" t="n">
        <f aca="false">(SUMPRODUCT(DCF!$C$7:$G$7,1/(1+$B9)^{0.5,1.5,2.5,3.5,4.5})+DCF!$G$7*(1+E$4)/($B9-E$4)/(1+$B9)^4.5+Assumptions!$C$15)/Assumptions!$C$10</f>
        <v>43.5842491957971</v>
      </c>
      <c r="F9" s="23" t="n">
        <f aca="false">(SUMPRODUCT(DCF!$C$7:$G$7,1/(1+$B9)^{0.5,1.5,2.5,3.5,4.5})+DCF!$G$7*(1+F$4)/($B9-F$4)/(1+$B9)^4.5+Assumptions!$C$15)/Assumptions!$C$10</f>
        <v>44.7911088753454</v>
      </c>
    </row>
    <row r="10" customFormat="false" ht="15" hidden="false" customHeight="true" outlineLevel="0" collapsed="false">
      <c r="B10" s="22" t="n">
        <v>0.15</v>
      </c>
      <c r="C10" s="23" t="n">
        <f aca="false">(SUMPRODUCT(DCF!$C$7:$G$7,1/(1+$B10)^{0.5,1.5,2.5,3.5,4.5})+DCF!$G$7*(1+C$4)/($B10-C$4)/(1+$B10)^4.5+Assumptions!$C$15)/Assumptions!$C$10</f>
        <v>38.8810017610607</v>
      </c>
      <c r="D10" s="23" t="n">
        <f aca="false">(SUMPRODUCT(DCF!$C$7:$G$7,1/(1+$B10)^{0.5,1.5,2.5,3.5,4.5})+DCF!$G$7*(1+D$4)/($B10-D$4)/(1+$B10)^4.5+Assumptions!$C$15)/Assumptions!$C$10</f>
        <v>39.7129761077905</v>
      </c>
      <c r="E10" s="23" t="n">
        <f aca="false">(SUMPRODUCT(DCF!$C$7:$G$7,1/(1+$B10)^{0.5,1.5,2.5,3.5,4.5})+DCF!$G$7*(1+E$4)/($B10-E$4)/(1+$B10)^4.5+Assumptions!$C$15)/Assumptions!$C$10</f>
        <v>40.6142816500811</v>
      </c>
      <c r="F10" s="23" t="n">
        <f aca="false">(SUMPRODUCT(DCF!$C$7:$G$7,1/(1+$B10)^{0.5,1.5,2.5,3.5,4.5})+DCF!$G$7*(1+F$4)/($B10-F$4)/(1+$B10)^4.5+Assumptions!$C$15)/Assumptions!$C$10</f>
        <v>41.5939615873536</v>
      </c>
    </row>
    <row r="11" customFormat="false" ht="15" hidden="false" customHeight="true" outlineLevel="0" collapsed="false">
      <c r="B11" s="22" t="n">
        <v>0.16</v>
      </c>
      <c r="C11" s="23" t="n">
        <f aca="false">(SUMPRODUCT(DCF!$C$7:$G$7,1/(1+$B11)^{0.5,1.5,2.5,3.5,4.5})+DCF!$G$7*(1+C$4)/($B11-C$4)/(1+$B11)^4.5+Assumptions!$C$15)/Assumptions!$C$10</f>
        <v>36.6652817965507</v>
      </c>
      <c r="D11" s="23" t="n">
        <f aca="false">(SUMPRODUCT(DCF!$C$7:$G$7,1/(1+$B11)^{0.5,1.5,2.5,3.5,4.5})+DCF!$G$7*(1+D$4)/($B11-D$4)/(1+$B11)^4.5+Assumptions!$C$15)/Assumptions!$C$10</f>
        <v>37.3592522422815</v>
      </c>
      <c r="E11" s="23" t="n">
        <f aca="false">(SUMPRODUCT(DCF!$C$7:$G$7,1/(1+$B11)^{0.5,1.5,2.5,3.5,4.5})+DCF!$G$7*(1+E$4)/($B11-E$4)/(1+$B11)^4.5+Assumptions!$C$15)/Assumptions!$C$10</f>
        <v>38.1066050299916</v>
      </c>
      <c r="F11" s="23" t="n">
        <f aca="false">(SUMPRODUCT(DCF!$C$7:$G$7,1/(1+$B11)^{0.5,1.5,2.5,3.5,4.5})+DCF!$G$7*(1+F$4)/($B11-F$4)/(1+$B11)^4.5+Assumptions!$C$15)/Assumptions!$C$10</f>
        <v>38.9137460407184</v>
      </c>
    </row>
    <row r="14" customFormat="false" ht="15" hidden="false" customHeight="true" outlineLevel="0" collapsed="false">
      <c r="B14" s="21" t="s">
        <v>85</v>
      </c>
      <c r="C14" s="21"/>
      <c r="D14" s="21"/>
      <c r="E14" s="21"/>
      <c r="F14" s="21"/>
      <c r="G14" s="21"/>
    </row>
    <row r="15" customFormat="false" ht="15" hidden="false" customHeight="true" outlineLevel="0" collapsed="false">
      <c r="B15" s="21"/>
      <c r="C15" s="21"/>
      <c r="D15" s="21"/>
      <c r="E15" s="21"/>
      <c r="F15" s="21"/>
      <c r="G15" s="21"/>
    </row>
    <row r="16" customFormat="false" ht="15" hidden="false" customHeight="true" outlineLevel="0" collapsed="false">
      <c r="B16" s="21"/>
      <c r="C16" s="21"/>
      <c r="D16" s="21"/>
      <c r="E16" s="21"/>
      <c r="F16" s="21"/>
      <c r="G16" s="21"/>
    </row>
  </sheetData>
  <mergeCells count="1">
    <mergeCell ref="B14:G16"/>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95"/>
  </cols>
  <sheetData>
    <row r="2" customFormat="false" ht="17.25" hidden="false" customHeight="true" outlineLevel="0" collapsed="false">
      <c r="B2" s="2" t="s">
        <v>86</v>
      </c>
    </row>
    <row r="4" customFormat="false" ht="15" hidden="false" customHeight="true" outlineLevel="0" collapsed="false">
      <c r="B4" s="4" t="s">
        <v>87</v>
      </c>
      <c r="I4" s="25" t="s">
        <v>88</v>
      </c>
      <c r="J4" s="26" t="n">
        <f aca="false">DCF!C21</f>
        <v>45.2839586228583</v>
      </c>
    </row>
    <row r="5" customFormat="false" ht="15" hidden="false" customHeight="true" outlineLevel="0" collapsed="false">
      <c r="B5" s="21" t="s">
        <v>89</v>
      </c>
      <c r="C5" s="21"/>
      <c r="D5" s="21"/>
      <c r="E5" s="21"/>
      <c r="F5" s="21"/>
      <c r="I5" s="25" t="s">
        <v>90</v>
      </c>
      <c r="J5" s="26" t="n">
        <f aca="false">DCF!C22</f>
        <v>379.26</v>
      </c>
    </row>
    <row r="6" customFormat="false" ht="15" hidden="false" customHeight="true" outlineLevel="0" collapsed="false">
      <c r="B6" s="21"/>
      <c r="C6" s="21"/>
      <c r="D6" s="21"/>
      <c r="E6" s="21"/>
      <c r="F6" s="21"/>
    </row>
    <row r="8" customFormat="false" ht="15" hidden="false" customHeight="true" outlineLevel="0" collapsed="false">
      <c r="B8" s="4" t="s">
        <v>91</v>
      </c>
    </row>
    <row r="9" customFormat="false" ht="30" hidden="false" customHeight="true" outlineLevel="0" collapsed="false">
      <c r="B9" s="27" t="s">
        <v>92</v>
      </c>
      <c r="C9" s="27"/>
      <c r="D9" s="27"/>
      <c r="E9" s="27"/>
      <c r="F9" s="27"/>
    </row>
    <row r="10" customFormat="false" ht="30" hidden="false" customHeight="true" outlineLevel="0" collapsed="false">
      <c r="B10" s="27" t="s">
        <v>93</v>
      </c>
      <c r="C10" s="27"/>
      <c r="D10" s="27"/>
      <c r="E10" s="27"/>
      <c r="F10" s="27"/>
    </row>
    <row r="11" customFormat="false" ht="30" hidden="false" customHeight="true" outlineLevel="0" collapsed="false">
      <c r="B11" s="27" t="s">
        <v>94</v>
      </c>
      <c r="C11" s="27"/>
      <c r="D11" s="27"/>
      <c r="E11" s="27"/>
      <c r="F11" s="27"/>
    </row>
    <row r="12" customFormat="false" ht="30" hidden="false" customHeight="true" outlineLevel="0" collapsed="false">
      <c r="B12" s="27" t="s">
        <v>95</v>
      </c>
      <c r="C12" s="27"/>
      <c r="D12" s="27"/>
      <c r="E12" s="27"/>
      <c r="F12" s="27"/>
    </row>
    <row r="15" customFormat="false" ht="15" hidden="false" customHeight="true" outlineLevel="0" collapsed="false">
      <c r="B15" s="4" t="s">
        <v>96</v>
      </c>
    </row>
    <row r="16" customFormat="false" ht="15" hidden="false" customHeight="true" outlineLevel="0" collapsed="false">
      <c r="B16" s="21" t="s">
        <v>97</v>
      </c>
      <c r="C16" s="21"/>
      <c r="D16" s="21"/>
      <c r="E16" s="21"/>
      <c r="F16" s="21"/>
    </row>
    <row r="17" customFormat="false" ht="15" hidden="false" customHeight="true" outlineLevel="0" collapsed="false">
      <c r="B17" s="21"/>
      <c r="C17" s="21"/>
      <c r="D17" s="21"/>
      <c r="E17" s="21"/>
      <c r="F17" s="21"/>
    </row>
    <row r="18" customFormat="false" ht="15" hidden="false" customHeight="true" outlineLevel="0" collapsed="false">
      <c r="B18" s="21"/>
      <c r="C18" s="21"/>
      <c r="D18" s="21"/>
      <c r="E18" s="21"/>
      <c r="F18" s="21"/>
    </row>
    <row r="19" customFormat="false" ht="15" hidden="false" customHeight="true" outlineLevel="0" collapsed="false">
      <c r="B19" s="21"/>
      <c r="C19" s="21"/>
      <c r="D19" s="21"/>
      <c r="E19" s="21"/>
      <c r="F19" s="21"/>
    </row>
  </sheetData>
  <mergeCells count="6">
    <mergeCell ref="B5:F6"/>
    <mergeCell ref="B9:F9"/>
    <mergeCell ref="B10:F10"/>
    <mergeCell ref="B11:F11"/>
    <mergeCell ref="B12:F12"/>
    <mergeCell ref="B16:F19"/>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58"/>
    <col collapsed="false" customWidth="true" hidden="false" outlineLevel="0" max="4" min="4" style="1" width="16"/>
  </cols>
  <sheetData>
    <row r="2" customFormat="false" ht="18" hidden="false" customHeight="true" outlineLevel="0" collapsed="false">
      <c r="B2" s="28" t="s">
        <v>98</v>
      </c>
    </row>
    <row r="5" customFormat="false" ht="15" hidden="false" customHeight="true" outlineLevel="0" collapsed="false">
      <c r="B5" s="4" t="s">
        <v>99</v>
      </c>
      <c r="D5" s="4" t="s">
        <v>100</v>
      </c>
    </row>
    <row r="6" customFormat="false" ht="27.75" hidden="false" customHeight="true" outlineLevel="0" collapsed="false">
      <c r="B6" s="29" t="s">
        <v>101</v>
      </c>
      <c r="D6" s="4" t="str">
        <f aca="false">IF(Assumptions!C24&lt;Assumptions!C23,"OK","A VERIFIER")</f>
        <v>OK</v>
      </c>
    </row>
    <row r="7" customFormat="false" ht="27.75" hidden="false" customHeight="true" outlineLevel="0" collapsed="false">
      <c r="B7" s="29" t="s">
        <v>102</v>
      </c>
      <c r="D7" s="4" t="str">
        <f aca="false">IF(MIN(Assumptions!C30:G30)&gt;0,"OK","A VERIFIER")</f>
        <v>OK</v>
      </c>
    </row>
    <row r="8" customFormat="false" ht="27.75" hidden="false" customHeight="true" outlineLevel="0" collapsed="false">
      <c r="B8" s="29" t="s">
        <v>103</v>
      </c>
      <c r="D8" s="4" t="str">
        <f aca="false">IF(ROUND(DCF!C12+DCF!C15-DCF!C17,1)=0,"OK","A VERIFIER")</f>
        <v>OK</v>
      </c>
    </row>
    <row r="9" customFormat="false" ht="27.75" hidden="false" customHeight="true" outlineLevel="0" collapsed="false">
      <c r="B9" s="29" t="s">
        <v>104</v>
      </c>
      <c r="D9" s="4" t="str">
        <f aca="false">IF(ROUND(DCF!C17+DCF!C18-DCF!C19,1)=0,"OK","A VERIFIER")</f>
        <v>OK</v>
      </c>
    </row>
    <row r="10" customFormat="false" ht="27.75" hidden="false" customHeight="true" outlineLevel="0" collapsed="false">
      <c r="B10" s="29" t="s">
        <v>105</v>
      </c>
      <c r="D10" s="4" t="str">
        <f aca="false">IF(ABS(Assumptions!C10*Assumptions!C11/Assumptions!C12-1)&lt;0.06,"OK","A VERIFIER")</f>
        <v>OK</v>
      </c>
    </row>
    <row r="11" customFormat="false" ht="26.25" hidden="false" customHeight="true" outlineLevel="0" collapsed="false">
      <c r="B11" s="29" t="s">
        <v>106</v>
      </c>
      <c r="D11" s="4" t="str">
        <f aca="false">IF(DCF!C35&gt;0,"OK","A VERIFIER")</f>
        <v>OK</v>
      </c>
    </row>
    <row r="12" customFormat="false" ht="15" hidden="false" customHeight="true" outlineLevel="0" collapsed="false">
      <c r="B12" s="4" t="s">
        <v>107</v>
      </c>
      <c r="C12" s="4" t="str">
        <f aca="false">IF(COUNTIF(D6:D11,"OK")=6,"Tous les contrôles sont OK","Au moins un contrôle à vérifier")</f>
        <v>Tous les contrôles sont OK</v>
      </c>
    </row>
    <row r="15" customFormat="false" ht="15" hidden="false" customHeight="true" outlineLevel="0" collapsed="false">
      <c r="B15" s="30" t="s">
        <v>108</v>
      </c>
      <c r="C15" s="30"/>
      <c r="D15" s="30"/>
      <c r="E15" s="30"/>
    </row>
    <row r="16" customFormat="false" ht="15" hidden="false" customHeight="true" outlineLevel="0" collapsed="false">
      <c r="B16" s="30"/>
      <c r="C16" s="30"/>
      <c r="D16" s="30"/>
      <c r="E16" s="30"/>
    </row>
    <row r="17" customFormat="false" ht="15" hidden="false" customHeight="true" outlineLevel="0" collapsed="false">
      <c r="B17" s="30"/>
      <c r="C17" s="30"/>
      <c r="D17" s="30"/>
      <c r="E17" s="30"/>
    </row>
  </sheetData>
  <mergeCells count="1">
    <mergeCell ref="B15:E17"/>
  </mergeCells>
  <conditionalFormatting sqref="D6:D10">
    <cfRule type="expression" priority="2" aboveAverage="0" equalAverage="0" bottom="0" percent="0" rank="0" text="" dxfId="0">
      <formula>D6="OK"</formula>
    </cfRule>
    <cfRule type="expression" priority="3" aboveAverage="0" equalAverage="0" bottom="0" percent="0" rank="0" text="" dxfId="1">
      <formula>D6&lt;&gt;"OK"</formula>
    </cfRule>
  </conditionalFormatting>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2026-10-12T14:22:19Z</dcterms:created>
  <dc:creator>openpyxl</dc:creator>
  <dc:description/>
  <dc:language>en-US</dc:language>
  <cp:lastModifiedBy/>
  <dcterms:modified xsi:type="dcterms:W3CDTF">2026-10-13T20:33:01Z</dcterms:modified>
  <cp:revision>19</cp:revision>
  <dc:subject/>
  <dc:title/>
</cp:coreProperties>
</file>

<file path=docProps/custom.xml><?xml version="1.0" encoding="utf-8"?>
<Properties xmlns="http://schemas.openxmlformats.org/officeDocument/2006/custom-properties" xmlns:vt="http://schemas.openxmlformats.org/officeDocument/2006/docPropsVTypes"/>
</file>