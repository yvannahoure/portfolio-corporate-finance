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Quality of Earnings" sheetId="2" state="visible" r:id="rId4"/>
    <sheet name="EBIT to Net Income Bridge" sheetId="3" state="visible" r:id="rId5"/>
    <sheet name="Risk Flags" sheetId="4" state="visible" r:id="rId6"/>
    <sheet name="Checks" sheetId="5" state="visible" r:id="rId7"/>
  </sheets>
  <definedNames>
    <definedName function="false" hidden="false" localSheetId="4" name="_xlnm.Print_Area" vbProcedure="false">Checks!$A$1:$E$12</definedName>
    <definedName function="false" hidden="false" localSheetId="0" name="_xlnm.Print_Area" vbProcedure="false">Cover!$A$1:$F$23</definedName>
    <definedName function="false" hidden="false" localSheetId="2" name="_xlnm.Print_Area" vbProcedure="false">'EBIT to Net Income Bridge'!$A$1:$G$33</definedName>
    <definedName function="false" hidden="false" localSheetId="1" name="_xlnm.Print_Area" vbProcedure="false">'Quality of Earnings'!$A$1:$F$47</definedName>
    <definedName function="false" hidden="false" localSheetId="3" name="_xlnm.Print_Area" vbProcedure="false">'Risk Flags'!$A$1:$F$22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FY2023A et FY2024A : D&amp;A estimée à 3,4 % du chiffre d'affaires (hypothèse personnelle, aucune ventilation D&amp;A publiée à ce niveau de détail). FY2025A : valeur réelle publiée (464 M€), identique à celle utilisée dans Three_Statement_Model.xlsx du même portfolio, pour rester cohérent entre les deux fichiers.</t>
        </r>
      </text>
    </comment>
    <comment ref="B29" authorId="0">
      <text>
        <r>
          <rPr>
            <sz val="10"/>
            <rFont val="Arial"/>
            <family val="2"/>
          </rPr>
          <t xml:space="preserve">Cohérence avec le modèle 3 états du portfolio (Three_Statement_Model.xlsx) : source présentation des résultats annuels FY2025, fnacdarty.com, 25/02/2026.</t>
        </r>
      </text>
    </comment>
    <comment ref="E8" authorId="0">
      <text>
        <r>
          <rPr>
            <sz val="10"/>
            <rFont val="Arial"/>
            <family val="2"/>
          </rPr>
          <t xml:space="preserve">Réel : dotation aux amortissements FY2025A telle que publiée dans la présentation des résultats annuels FY2025 (fnacdarty.com, 25/02/2026), incluant l'amortissement des droits d'usage IFRS16. Même donnée que celle utilisée dans Three_Statement_Model (onglet Income Statement, cellule E8).</t>
        </r>
      </text>
    </comment>
    <comment ref="E21" authorId="0">
      <text>
        <r>
          <rPr>
            <sz val="10"/>
            <rFont val="Arial"/>
            <family val="2"/>
          </rPr>
          <t xml:space="preserve">Réel : 123 M€ (goodwill, marque, IT, activités poursuivies) + 60 M€ (Nature &amp; Découvertes, activité cédée), communiqué de résultats annuels FY2025 (fnacdarty.com, 25/02/2026). Détail du pont en onglet EBIT to Net Income Bridge.</t>
        </r>
      </text>
    </comment>
    <comment ref="E29" authorId="0">
      <text>
        <r>
          <rPr>
            <sz val="10"/>
            <rFont val="Arial"/>
            <family val="2"/>
          </rPr>
          <t xml:space="preserve">Réel, présentation des résultats annuels FY2025 (fnacdarty.com, 25/02/2026), périmètre Unieuro en année pleine. Même source que Three_Statement_Model, onglet Assumptions, cellule C44.</t>
        </r>
      </text>
    </comment>
  </commentList>
</comments>
</file>

<file path=xl/sharedStrings.xml><?xml version="1.0" encoding="utf-8"?>
<sst xmlns="http://schemas.openxmlformats.org/spreadsheetml/2006/main" count="68" uniqueCount="64">
  <si>
    <t xml:space="preserve">Financial Due Diligence (Quality of Earnings) - cas d'école sur Fnac Darty</t>
  </si>
  <si>
    <t xml:space="preserve">Exercice de formation - Transaction Services - Yvann Ahoure</t>
  </si>
  <si>
    <t xml:space="preserve">Toutes les valeurs sont en millions d'euros (M€), sauf mention contraire.</t>
  </si>
  <si>
    <t xml:space="preserve">Avertissement important</t>
  </si>
  <si>
    <t xml:space="preserve">Analyse construite à partir des seuls communiqués publics de Fnac Darty (pas d'accès à une data room réelle). Les montants d'EBIT courant et de résultat net publié FY2023-FY2025 sont les chiffres réels. La D&amp;A et la décomposition fine du résultat financier/IS ne sont pas publiées à ce niveau de détail : la D&amp;A est estimée (hypothèse personnelle, cohérente avec les 2 autres modèles Fnac Darty du portfolio) et l'écart résiduel entre résultat opérationnel et résultat net est explicitement laissé en "non documenté publiquement" plutôt que comblé par une estimation arbitraire - exactement le type de question qu'une vraie mission de due diligence poserait en data room.</t>
  </si>
  <si>
    <t xml:space="preserve">Sommaire</t>
  </si>
  <si>
    <t xml:space="preserve">Quality of Earnings</t>
  </si>
  <si>
    <t xml:space="preserve">EBITDA courant estimé et marge, tendance FY2023-FY2025</t>
  </si>
  <si>
    <t xml:space="preserve">EBIT to Net Income Bridge</t>
  </si>
  <si>
    <t xml:space="preserve">Pont résultat opérationnel courant -&gt; résultat net publié FY2025</t>
  </si>
  <si>
    <t xml:space="preserve">Risk Flags</t>
  </si>
  <si>
    <t xml:space="preserve">Points d'attention à documenter en data room</t>
  </si>
  <si>
    <t xml:space="preserve">Checks</t>
  </si>
  <si>
    <t xml:space="preserve">Contrôles de cohérence</t>
  </si>
  <si>
    <t xml:space="preserve">Sources</t>
  </si>
  <si>
    <t xml:space="preserve">- Communiqués de résultats annuels Fnac Darty FY2023 (févr. 2024), FY2024 (26/02/2025), FY2025 (25/02/2026).</t>
  </si>
  <si>
    <t xml:space="preserve">- Les 123 M€ (dépréciation goodwill/marque/IT) et 60 M€ (dépréciation Nature &amp; Découvertes) sont les montants explicitement cités dans le communiqué FY2025.</t>
  </si>
  <si>
    <t xml:space="preserve">EBITDA courant estimé et tendance de marge</t>
  </si>
  <si>
    <t xml:space="preserve">FY2023A</t>
  </si>
  <si>
    <t xml:space="preserve">FY2024A</t>
  </si>
  <si>
    <t xml:space="preserve">FY2025A</t>
  </si>
  <si>
    <t xml:space="preserve">Chiffre d'affaires (réel)</t>
  </si>
  <si>
    <t xml:space="preserve">Résultat opérationnel courant / EBIT (réel)</t>
  </si>
  <si>
    <t xml:space="preserve">D&amp;A (FY2023A-FY2024A : hypothèse 3,4 % du CA ; FY2025A : réel)</t>
  </si>
  <si>
    <t xml:space="preserve">EBITDA courant estimé</t>
  </si>
  <si>
    <t xml:space="preserve">Marge d'EBITDA courant estimée (%)</t>
  </si>
  <si>
    <t xml:space="preserve">Marge d'EBIT courant (%)</t>
  </si>
  <si>
    <t xml:space="preserve">Lecture : l'EBIT courant progresse chaque année (171 -&gt; 189 -&gt; 203 M€) alors que le résultat net publié chute fortement en FY2025 (-146 M€, onglet suivant) : signe que le résultat opérationnel courant est déjà « propre » (il exclut par construction les éléments non courants en normes françaises) et que la dégradation du résultat net vient d'éléments situés sous la ligne opérationnelle courante, pas d'une dégradation de l'exploitation elle-même. La marge d'EBITDA courant estimée progresse également sur les 3 exercices (5,6 % -&gt; 5,7 % -&gt; 6,5 %) : la dotation aux amortissements FY2025A retenue ici est la valeur réelle publiée (464 M€), ce qui fait recouper exactement l'EBITDA courant estimé (667 M€) avec l'EBITDA réel publié par la société pour cet exercice (voir section ci-dessous). Cette progression de marge mérite néanmoins d'être creusée par segment en data room compte tenu de l'intégration d'Unieuro en année pleine (voir Risk Flags).</t>
  </si>
  <si>
    <t xml:space="preserve">NORMALISATION DE L'EBITDA : ÉLÉMENTS NON RÉCURRENTS ET RÉFÉRENCE EXTERNE (FY2025A)</t>
  </si>
  <si>
    <t xml:space="preserve">Dépréciations non récurrentes publiées (goodwill/marque/IT + Nature &amp; Découvertes)</t>
  </si>
  <si>
    <t xml:space="preserve">Ces dépréciations sont présentées sous la ligne du résultat opérationnel courant en normes françaises : elles n'affectent ni l'EBIT courant (ligne 7) ni l'EBITDA courant estimé (ligne 9) ci-dessus, qui excluent déjà ces éléments non récurrents par construction de la présentation comptable. Aucun retraitement supplémentaire n'est donc nécessaire sur ces deux lignes pour ces éléments.</t>
  </si>
  <si>
    <t xml:space="preserve">Autres catégories de non-récurrents usuelles (restructuration, créances douteuses, litiges, sinistres, changement de méthode comptable)</t>
  </si>
  <si>
    <t xml:space="preserve">Non identifiées dans les communiqués publics de Fnac Darty consultés pour cet exercice. Si de tels éléments existent, ils seraient déjà inclus dans le résultat opérationnel courant sans être isolés séparément : un point à vérifier en data room plutôt qu'à supposer absent.</t>
  </si>
  <si>
    <t xml:space="preserve">EBITDA réel publié FY2025A (référence externe)</t>
  </si>
  <si>
    <t xml:space="preserve">Écart EBITDA courant estimé FY2025A vs EBITDA réel publié (doit être nul)</t>
  </si>
  <si>
    <t xml:space="preserve">Pont FY2025 : résultat opérationnel courant -&gt; résultat net publié</t>
  </si>
  <si>
    <t xml:space="preserve">DÉCOMPOSITION DE L'ÉCART (203 M€ -&gt; -146 M€)</t>
  </si>
  <si>
    <t xml:space="preserve">Résultat opérationnel courant FY2025 (réel)</t>
  </si>
  <si>
    <t xml:space="preserve">- Dépréciation goodwill / marque / IT (non courant, continuing ops - réel)</t>
  </si>
  <si>
    <t xml:space="preserve">- Dépréciation Nature &amp; Découvertes (activité cédée, non courant - réel)</t>
  </si>
  <si>
    <t xml:space="preserve">- Résultat financier, IS et autres éléments non détaillés publiquement</t>
  </si>
  <si>
    <t xml:space="preserve">Plug non documenté publiquement (résultat financier net, IS, intérêts minoritaires), à demander en data room plutôt qu'à estimer arbitrairement.</t>
  </si>
  <si>
    <t xml:space="preserve">-&gt; Résultat net publié FY2025 (réel, GAAP)</t>
  </si>
  <si>
    <t xml:space="preserve">Contrôle : résultat net publié FY2025 (source)</t>
  </si>
  <si>
    <t xml:space="preserve">Écart vs reconstruction du pont (doit être nul)</t>
  </si>
  <si>
    <t xml:space="preserve">Lecture : la totalité de la perte nette FY2025 s'explique par 183 M€ de dépréciations comptables non récurrentes explicitement citées par la société, plus 166 M€ d'éléments non détaillés dans les communiqués publics. Dans une vraie mission de due diligence, cette dernière ligne serait le point d'entrée naturel pour demander le détail du résultat financier et de la charge d'impôt en data room, plutôt que de la considérer comme acquise.</t>
  </si>
  <si>
    <t xml:space="preserve">Terminologie dette nette à vérifier (958 M€ brute vs 146 M€ trésorerie nette)</t>
  </si>
  <si>
    <t xml:space="preserve">Le communiqué FY2025 cite à la fois une dette financière brute hors IFRS16 de 958 M€ et une « position de trésorerie nette » de 146 M€, sans pont explicite entre les deux dans le communiqué. Un recoupement avec la trésorerie réelle publiée (voir projet 2, modèle 3 états + DCF) résout le point : 958 M€ est la dette financière brute, 1 104 M€ la trésorerie réelle, et -146 M€ le résultat de 958 - 1 104 - soit une position de cash net, et non deux chiffres de dette nette incohérents. Un rappel que la terminologie dette brute / dette nette / position de trésorerie nette doit toujours être vérifiée précisément avant toute valorisation.</t>
  </si>
  <si>
    <t xml:space="preserve">Dépréciations non récurrentes significatives</t>
  </si>
  <si>
    <t xml:space="preserve">183 M€ de dépréciations (goodwill/marque/IT + Nature &amp; Découvertes) en une seule année. Bon signal : l'EBIT courant n'est pas affecté. Point à creuser : la valeur résiduelle du goodwill Unieuro (acquis en nov. 2024) après cette vague de dépréciations.</t>
  </si>
  <si>
    <t xml:space="preserve">Marge d'EBITDA courant en hausse sur les 3 exercices, y compris lors de l'intégration d'Unieuro</t>
  </si>
  <si>
    <t xml:space="preserve">La marge d'EBITDA courant estimée progresse chaque année (5,6 % -&gt; 5,7 % -&gt; 6,5 %), y compris lors de l'exercice d'intégration d'Unieuro (retail électronique en Italie, acquis en novembre 2024). Point à confirmer par segment en data room : cette progression peut recouvrir des dynamiques hétérogènes entre le cœur Fnac Darty et Unieuro, que les communiqués consultés ne permettent pas de distinguer.</t>
  </si>
  <si>
    <t xml:space="preserve">166 M€ d'écart non documenté entre résultat opérationnel et résultat net</t>
  </si>
  <si>
    <t xml:space="preserve">Résultat financier, IS et intérêts minoritaires ne sont pas détaillés dans les communiqués publics utilisés ici. A obtenir en data room avant toute conclusion sur la qualité du résultat net.</t>
  </si>
  <si>
    <t xml:space="preserve">BFR non détaillé publiquement à ce niveau de granularité</t>
  </si>
  <si>
    <t xml:space="preserve">L'analyse du BFR normalisé (délais clients/fournisseurs/stocks réels, saisonnalité) nécessiterait le détail du bilan et, idéalement, une vue mensuelle, non disponible dans les communiqués annuels consultés.</t>
  </si>
  <si>
    <t xml:space="preserve">Contrôle</t>
  </si>
  <si>
    <t xml:space="preserve">Résultat</t>
  </si>
  <si>
    <t xml:space="preserve">Pont EBIT -&gt; résultat net reconstruit = résultat net publié (réconciliation arithmétique)</t>
  </si>
  <si>
    <t xml:space="preserve">EBIT courant positif et croissant sur les 3 exercices</t>
  </si>
  <si>
    <t xml:space="preserve">Marge d'EBITDA courant estimée dans une fourchette plausible (3 %-10 %) sur les 3 exercices</t>
  </si>
  <si>
    <t xml:space="preserve">EBITDA courant estimé FY2025A recoupe l'EBITDA réel publié (contrôle de cohérence externe)</t>
  </si>
  <si>
    <t xml:space="preserve">Synthèse</t>
  </si>
  <si>
    <t xml:space="preserve">Note : ce contrôle vérifie une identité arithmétique assurée par construction : la ligne C9 de l'onglet 'EBIT to Net Income Bridge' est un plug résiduel calé pour que le pont boucle exactement sur le résultat net publié. Ce n'est pas une validation comptable indépendante du résultat net lui-même.</t>
  </si>
</sst>
</file>

<file path=xl/styles.xml><?xml version="1.0" encoding="utf-8"?>
<styleSheet xmlns="http://schemas.openxmlformats.org/spreadsheetml/2006/main">
  <numFmts count="5">
    <numFmt numFmtId="164" formatCode="General"/>
    <numFmt numFmtId="165" formatCode="#,##0;\(#,##0\);\-"/>
    <numFmt numFmtId="166" formatCode="0.0%;\(0.0%\);\-"/>
    <numFmt numFmtId="167" formatCode="0.0%"/>
    <numFmt numFmtId="168" formatCode="#,##0"/>
  </numFmts>
  <fonts count="21">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666666"/>
      <name val="Arial"/>
      <family val="0"/>
      <charset val="1"/>
    </font>
    <font>
      <i val="true"/>
      <sz val="8"/>
      <color rgb="FF7F7F7F"/>
      <name val="Arial"/>
      <family val="0"/>
      <charset val="1"/>
    </font>
    <font>
      <b val="true"/>
      <sz val="11"/>
      <color rgb="FF1F3864"/>
      <name val="Arial"/>
      <family val="0"/>
      <charset val="1"/>
    </font>
    <font>
      <b val="true"/>
      <sz val="10"/>
      <color rgb="FF0000FF"/>
      <name val="Arial"/>
      <family val="0"/>
      <charset val="1"/>
    </font>
    <font>
      <sz val="11"/>
      <color theme="1"/>
      <name val="Arial"/>
      <family val="0"/>
      <charset val="1"/>
    </font>
    <font>
      <b val="true"/>
      <sz val="10"/>
      <name val="Arial"/>
      <family val="0"/>
      <charset val="1"/>
    </font>
    <font>
      <sz val="10"/>
      <color rgb="FF0000FF"/>
      <name val="Arial"/>
      <family val="0"/>
      <charset val="1"/>
    </font>
    <font>
      <sz val="11"/>
      <name val="Arial"/>
      <family val="0"/>
      <charset val="1"/>
    </font>
    <font>
      <sz val="10"/>
      <color rgb="FF000000"/>
      <name val="Arial"/>
      <family val="0"/>
      <charset val="1"/>
    </font>
    <font>
      <b val="true"/>
      <sz val="10"/>
      <color rgb="FFFFFFFF"/>
      <name val="Arial"/>
      <family val="0"/>
      <charset val="1"/>
    </font>
    <font>
      <sz val="10"/>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sz val="10"/>
      <color rgb="FFB8860B"/>
      <name val="Arial"/>
      <family val="0"/>
      <charset val="1"/>
    </font>
  </fonts>
  <fills count="4">
    <fill>
      <patternFill patternType="none"/>
    </fill>
    <fill>
      <patternFill patternType="gray125"/>
    </fill>
    <fill>
      <patternFill patternType="solid">
        <fgColor rgb="FFFFFDE7"/>
        <bgColor rgb="FFFFFFFF"/>
      </patternFill>
    </fill>
    <fill>
      <patternFill patternType="solid">
        <fgColor rgb="FF1F3864"/>
        <bgColor rgb="FF333333"/>
      </patternFill>
    </fill>
  </fills>
  <borders count="2">
    <border diagonalUp="false" diagonalDown="false">
      <left/>
      <right/>
      <top/>
      <bottom/>
      <diagonal/>
    </border>
    <border diagonalUp="false" diagonalDown="false">
      <left/>
      <right/>
      <top style="thin">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1" fillId="2"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64" fontId="14" fillId="3"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bottom" textRotation="0" wrapText="true" indent="0" shrinkToFit="false"/>
      <protection locked="true" hidden="false"/>
    </xf>
    <xf numFmtId="164" fontId="14"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5" fontId="20" fillId="2" borderId="0" xfId="0" applyFont="true" applyBorder="fals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E7D32"/>
      </font>
      <fill>
        <patternFill>
          <bgColor rgb="FFE2F0D9"/>
        </patternFill>
      </fill>
    </dxf>
    <dxf>
      <font>
        <name val="Arial"/>
        <charset val="1"/>
        <family val="0"/>
        <b val="1"/>
        <color rgb="FFC62828"/>
      </font>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080"/>
      <rgbColor rgb="FFB3B3B3"/>
      <rgbColor rgb="FF7F7F7F"/>
      <rgbColor rgb="FF9999FF"/>
      <rgbColor rgb="FF993366"/>
      <rgbColor rgb="FFFFFDE7"/>
      <rgbColor rgb="FFE0E0E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E4"/>
      <rgbColor rgb="FF3366FF"/>
      <rgbColor rgb="FF33CCCC"/>
      <rgbColor rgb="FF99CC00"/>
      <rgbColor rgb="FFFFCC00"/>
      <rgbColor rgb="FFFF9900"/>
      <rgbColor rgb="FFC55A11"/>
      <rgbColor rgb="FF666666"/>
      <rgbColor rgb="FF969696"/>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Marge d'EBITDA et d'EBIT courant estimées, FY2023-FY2025</a:t>
            </a:r>
          </a:p>
        </c:rich>
      </c:tx>
      <c:overlay val="0"/>
      <c:spPr>
        <a:noFill/>
        <a:ln w="0">
          <a:noFill/>
        </a:ln>
      </c:spPr>
    </c:title>
    <c:autoTitleDeleted val="0"/>
    <c:plotArea>
      <c:lineChart>
        <c:grouping val="standard"/>
        <c:varyColors val="0"/>
        <c:ser>
          <c:idx val="0"/>
          <c:order val="0"/>
          <c:tx>
            <c:strRef>
              <c:f>'Quality of Earnings'!B10</c:f>
              <c:strCache>
                <c:ptCount val="1"/>
                <c:pt idx="0">
                  <c:v>Marge d'EBITDA courant estimée (%)</c:v>
                </c:pt>
              </c:strCache>
            </c:strRef>
          </c:tx>
          <c:spPr>
            <a:solidFill>
              <a:srgbClr val="1f3864"/>
            </a:solidFill>
            <a:ln w="28440">
              <a:solidFill>
                <a:srgbClr val="1f3864"/>
              </a:solidFill>
              <a:round/>
            </a:ln>
          </c:spPr>
          <c:marker>
            <c:symbol val="circle"/>
            <c:size val="6"/>
            <c:spPr>
              <a:solidFill>
                <a:srgbClr val="1f3864"/>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'Quality of Earnings'!$C$5:$E$5</c:f>
              <c:strCache>
                <c:ptCount val="3"/>
                <c:pt idx="0">
                  <c:v>FY2023A</c:v>
                </c:pt>
                <c:pt idx="1">
                  <c:v>FY2024A</c:v>
                </c:pt>
                <c:pt idx="2">
                  <c:v>FY2025A</c:v>
                </c:pt>
              </c:strCache>
            </c:strRef>
          </c:cat>
          <c:val>
            <c:numRef>
              <c:f>'Quality of Earnings'!$C$10:$E$10</c:f>
              <c:numCache>
                <c:formatCode>0.0%;\(0.0%\);\-</c:formatCode>
                <c:ptCount val="3"/>
                <c:pt idx="0">
                  <c:v>0.0557142857142857</c:v>
                </c:pt>
                <c:pt idx="1">
                  <c:v>0.0569007633587786</c:v>
                </c:pt>
                <c:pt idx="2">
                  <c:v>0.0645692158760891</c:v>
                </c:pt>
              </c:numCache>
            </c:numRef>
          </c:val>
          <c:smooth val="1"/>
        </c:ser>
        <c:ser>
          <c:idx val="1"/>
          <c:order val="1"/>
          <c:tx>
            <c:strRef>
              <c:f>'Quality of Earnings'!B11</c:f>
              <c:strCache>
                <c:ptCount val="1"/>
                <c:pt idx="0">
                  <c:v>Marge d'EBIT courant (%)</c:v>
                </c:pt>
              </c:strCache>
            </c:strRef>
          </c:tx>
          <c:spPr>
            <a:solidFill>
              <a:srgbClr val="c55a11"/>
            </a:solidFill>
            <a:ln w="28440">
              <a:solidFill>
                <a:srgbClr val="c55a11"/>
              </a:solidFill>
              <a:round/>
            </a:ln>
          </c:spPr>
          <c:marker>
            <c:symbol val="circle"/>
            <c:size val="6"/>
            <c:spPr>
              <a:solidFill>
                <a:srgbClr val="c55a11"/>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'Quality of Earnings'!$C$5:$E$5</c:f>
              <c:strCache>
                <c:ptCount val="3"/>
                <c:pt idx="0">
                  <c:v>FY2023A</c:v>
                </c:pt>
                <c:pt idx="1">
                  <c:v>FY2024A</c:v>
                </c:pt>
                <c:pt idx="2">
                  <c:v>FY2025A</c:v>
                </c:pt>
              </c:strCache>
            </c:strRef>
          </c:cat>
          <c:val>
            <c:numRef>
              <c:f>'Quality of Earnings'!$C$11:$E$11</c:f>
              <c:numCache>
                <c:formatCode>0.0%;\(0.0%\);\-</c:formatCode>
                <c:ptCount val="3"/>
                <c:pt idx="0">
                  <c:v>0.0217142857142857</c:v>
                </c:pt>
                <c:pt idx="1">
                  <c:v>0.0229007633587786</c:v>
                </c:pt>
                <c:pt idx="2">
                  <c:v>0.0196515004840271</c:v>
                </c:pt>
              </c:numCache>
            </c:numRef>
          </c:val>
          <c:smooth val="1"/>
        </c:ser>
        <c:hiLowLines>
          <c:spPr>
            <a:ln w="0">
              <a:noFill/>
            </a:ln>
          </c:spPr>
        </c:hiLowLines>
        <c:marker val="1"/>
        <c:axId val="62907924"/>
        <c:axId val="52789311"/>
      </c:lineChart>
      <c:catAx>
        <c:axId val="6290792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2789311"/>
        <c:crosses val="autoZero"/>
        <c:auto val="1"/>
        <c:lblAlgn val="ctr"/>
        <c:lblOffset val="100"/>
        <c:noMultiLvlLbl val="0"/>
      </c:catAx>
      <c:valAx>
        <c:axId val="52789311"/>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9079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Pont EBIT courant -&gt; résultat net publié FY2025 (M€)</a:t>
            </a:r>
          </a:p>
        </c:rich>
      </c:tx>
      <c:overlay val="0"/>
      <c:spPr>
        <a:noFill/>
        <a:ln w="0">
          <a:noFill/>
        </a:ln>
      </c:spPr>
    </c:title>
    <c:autoTitleDeleted val="0"/>
    <c:plotArea>
      <c:barChart>
        <c:barDir val="col"/>
        <c:grouping val="clustered"/>
        <c:varyColors val="0"/>
        <c:ser>
          <c:idx val="0"/>
          <c:order val="0"/>
          <c:spPr>
            <a:solidFill>
              <a:srgbClr val="1f3864"/>
            </a:solidFill>
            <a:ln w="0">
              <a:solidFill>
                <a:srgbClr val="1f3864"/>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'EBIT to Net Income Bridge'!$B$6:$B$10</c:f>
              <c:strCache>
                <c:ptCount val="5"/>
                <c:pt idx="0">
                  <c:v>Résultat opérationnel courant FY2025 (réel)</c:v>
                </c:pt>
                <c:pt idx="1">
                  <c:v>- Dépréciation goodwill / marque / IT (non courant, continuing ops - réel)</c:v>
                </c:pt>
                <c:pt idx="2">
                  <c:v>- Dépréciation Nature &amp; Découvertes (activité cédée, non courant - réel)</c:v>
                </c:pt>
                <c:pt idx="3">
                  <c:v>- Résultat financier, IS et autres éléments non détaillés publiquement</c:v>
                </c:pt>
                <c:pt idx="4">
                  <c:v>-&gt; Résultat net publié FY2025 (réel, GAAP)</c:v>
                </c:pt>
              </c:strCache>
            </c:strRef>
          </c:cat>
          <c:val>
            <c:numRef>
              <c:f>'EBIT to Net Income Bridge'!$C$6:$C$10</c:f>
              <c:numCache>
                <c:formatCode>#,##0;\(#,##0\);\-</c:formatCode>
                <c:ptCount val="5"/>
                <c:pt idx="0">
                  <c:v>203</c:v>
                </c:pt>
                <c:pt idx="1">
                  <c:v>-123</c:v>
                </c:pt>
                <c:pt idx="2">
                  <c:v>-60</c:v>
                </c:pt>
                <c:pt idx="3">
                  <c:v>-166</c:v>
                </c:pt>
                <c:pt idx="4">
                  <c:v>-146</c:v>
                </c:pt>
              </c:numCache>
            </c:numRef>
          </c:val>
        </c:ser>
        <c:gapWidth val="150"/>
        <c:overlap val="0"/>
        <c:axId val="56515625"/>
        <c:axId val="5351454"/>
      </c:barChart>
      <c:catAx>
        <c:axId val="565156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351454"/>
        <c:crosses val="autoZero"/>
        <c:auto val="1"/>
        <c:lblAlgn val="ctr"/>
        <c:lblOffset val="100"/>
        <c:noMultiLvlLbl val="0"/>
      </c:catAx>
      <c:valAx>
        <c:axId val="5351454"/>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65156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31</xdr:row>
      <xdr:rowOff>0</xdr:rowOff>
    </xdr:from>
    <xdr:to>
      <xdr:col>4</xdr:col>
      <xdr:colOff>112680</xdr:colOff>
      <xdr:row>46</xdr:row>
      <xdr:rowOff>14040</xdr:rowOff>
    </xdr:to>
    <xdr:graphicFrame>
      <xdr:nvGraphicFramePr>
        <xdr:cNvPr id="0" name="Chart 1"/>
        <xdr:cNvGraphicFramePr/>
      </xdr:nvGraphicFramePr>
      <xdr:xfrm>
        <a:off x="611640" y="6724800"/>
        <a:ext cx="575136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15</xdr:row>
      <xdr:rowOff>0</xdr:rowOff>
    </xdr:from>
    <xdr:to>
      <xdr:col>4</xdr:col>
      <xdr:colOff>1505160</xdr:colOff>
      <xdr:row>30</xdr:row>
      <xdr:rowOff>13680</xdr:rowOff>
    </xdr:to>
    <xdr:graphicFrame>
      <xdr:nvGraphicFramePr>
        <xdr:cNvPr id="1" name="Chart 1"/>
        <xdr:cNvGraphicFramePr/>
      </xdr:nvGraphicFramePr>
      <xdr:xfrm>
        <a:off x="611640" y="2933640"/>
        <a:ext cx="719136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2"/>
    <col collapsed="false" customWidth="true" hidden="false" outlineLevel="0" max="3" min="3" style="1" width="58"/>
  </cols>
  <sheetData>
    <row r="2" customFormat="false" ht="18"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row>
    <row r="7" customFormat="false" ht="15" hidden="false" customHeight="true" outlineLevel="0" collapsed="false">
      <c r="B7" s="6" t="s">
        <v>4</v>
      </c>
      <c r="C7" s="6"/>
      <c r="D7" s="6"/>
      <c r="E7" s="6"/>
      <c r="F7" s="6"/>
    </row>
    <row r="8" customFormat="false" ht="15" hidden="false" customHeight="true" outlineLevel="0" collapsed="false">
      <c r="B8" s="6"/>
      <c r="C8" s="6"/>
      <c r="D8" s="6"/>
      <c r="E8" s="6"/>
      <c r="F8" s="6"/>
    </row>
    <row r="9" customFormat="false" ht="15" hidden="false" customHeight="true" outlineLevel="0" collapsed="false">
      <c r="B9" s="6"/>
      <c r="C9" s="6"/>
      <c r="D9" s="6"/>
      <c r="E9" s="6"/>
      <c r="F9" s="6"/>
    </row>
    <row r="10" customFormat="false" ht="15" hidden="false" customHeight="true" outlineLevel="0" collapsed="false">
      <c r="B10" s="6"/>
      <c r="C10" s="6"/>
      <c r="D10" s="6"/>
      <c r="E10" s="6"/>
      <c r="F10" s="6"/>
    </row>
    <row r="11" customFormat="false" ht="15" hidden="false" customHeight="true" outlineLevel="0" collapsed="false">
      <c r="B11" s="6"/>
      <c r="C11" s="6"/>
      <c r="D11" s="6"/>
      <c r="E11" s="6"/>
      <c r="F11" s="6"/>
    </row>
    <row r="14" customFormat="false" ht="15" hidden="false" customHeight="true" outlineLevel="0" collapsed="false">
      <c r="B14" s="5" t="s">
        <v>5</v>
      </c>
    </row>
    <row r="15" customFormat="false" ht="15" hidden="false" customHeight="true" outlineLevel="0" collapsed="false">
      <c r="B15" s="7" t="s">
        <v>6</v>
      </c>
      <c r="C15" s="8" t="s">
        <v>7</v>
      </c>
    </row>
    <row r="16" customFormat="false" ht="15" hidden="false" customHeight="true" outlineLevel="0" collapsed="false">
      <c r="B16" s="7" t="s">
        <v>8</v>
      </c>
      <c r="C16" s="8" t="s">
        <v>9</v>
      </c>
    </row>
    <row r="17" customFormat="false" ht="15" hidden="false" customHeight="true" outlineLevel="0" collapsed="false">
      <c r="B17" s="7" t="s">
        <v>10</v>
      </c>
      <c r="C17" s="8" t="s">
        <v>11</v>
      </c>
    </row>
    <row r="18" customFormat="false" ht="15" hidden="false" customHeight="true" outlineLevel="0" collapsed="false">
      <c r="B18" s="7" t="s">
        <v>12</v>
      </c>
      <c r="C18" s="8" t="s">
        <v>13</v>
      </c>
    </row>
    <row r="20" customFormat="false" ht="15" hidden="false" customHeight="true" outlineLevel="0" collapsed="false">
      <c r="B20" s="5" t="s">
        <v>14</v>
      </c>
    </row>
    <row r="21" customFormat="false" ht="15" hidden="false" customHeight="true" outlineLevel="0" collapsed="false">
      <c r="B21" s="3" t="s">
        <v>15</v>
      </c>
    </row>
    <row r="22" customFormat="false" ht="15" hidden="false" customHeight="true" outlineLevel="0" collapsed="false">
      <c r="B22" s="9" t="s">
        <v>16</v>
      </c>
      <c r="C22" s="9"/>
      <c r="D22" s="9"/>
      <c r="E22" s="9"/>
      <c r="F22" s="9"/>
    </row>
    <row r="23" customFormat="false" ht="15" hidden="false" customHeight="true" outlineLevel="0" collapsed="false">
      <c r="B23" s="9"/>
      <c r="C23" s="9"/>
      <c r="D23" s="9"/>
      <c r="E23" s="9"/>
      <c r="F23" s="9"/>
    </row>
  </sheetData>
  <mergeCells count="2">
    <mergeCell ref="B7:F11"/>
    <mergeCell ref="B22:F23"/>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54"/>
    <col collapsed="false" customWidth="true" hidden="false" outlineLevel="0" max="5" min="3" style="1" width="13"/>
  </cols>
  <sheetData>
    <row r="2" customFormat="false" ht="18" hidden="false" customHeight="true" outlineLevel="0" collapsed="false">
      <c r="B2" s="2" t="s">
        <v>17</v>
      </c>
    </row>
    <row r="3" customFormat="false" ht="15" hidden="false" customHeight="true" outlineLevel="0" collapsed="false">
      <c r="B3" s="4" t="s">
        <v>2</v>
      </c>
    </row>
    <row r="5" customFormat="false" ht="15" hidden="false" customHeight="true" outlineLevel="0" collapsed="false">
      <c r="B5" s="8"/>
      <c r="C5" s="10" t="s">
        <v>18</v>
      </c>
      <c r="D5" s="10" t="s">
        <v>19</v>
      </c>
      <c r="E5" s="10" t="s">
        <v>20</v>
      </c>
    </row>
    <row r="6" customFormat="false" ht="15" hidden="false" customHeight="true" outlineLevel="0" collapsed="false">
      <c r="B6" s="8" t="s">
        <v>21</v>
      </c>
      <c r="C6" s="11" t="n">
        <v>7875</v>
      </c>
      <c r="D6" s="11" t="n">
        <v>8253</v>
      </c>
      <c r="E6" s="11" t="n">
        <v>10330</v>
      </c>
    </row>
    <row r="7" customFormat="false" ht="15" hidden="false" customHeight="true" outlineLevel="0" collapsed="false">
      <c r="B7" s="8" t="s">
        <v>22</v>
      </c>
      <c r="C7" s="11" t="n">
        <v>171</v>
      </c>
      <c r="D7" s="11" t="n">
        <v>189</v>
      </c>
      <c r="E7" s="11" t="n">
        <v>203</v>
      </c>
    </row>
    <row r="8" customFormat="false" ht="15" hidden="false" customHeight="true" outlineLevel="0" collapsed="false">
      <c r="B8" s="12" t="s">
        <v>23</v>
      </c>
      <c r="C8" s="13" t="n">
        <f aca="false">C6*0.034</f>
        <v>267.75</v>
      </c>
      <c r="D8" s="13" t="n">
        <f aca="false">D6*0.034</f>
        <v>280.602</v>
      </c>
      <c r="E8" s="11" t="n">
        <v>464</v>
      </c>
    </row>
    <row r="9" customFormat="false" ht="15" hidden="false" customHeight="true" outlineLevel="0" collapsed="false">
      <c r="B9" s="8" t="s">
        <v>24</v>
      </c>
      <c r="C9" s="14" t="n">
        <f aca="false">C7+C8</f>
        <v>438.75</v>
      </c>
      <c r="D9" s="14" t="n">
        <f aca="false">D7+D8</f>
        <v>469.602</v>
      </c>
      <c r="E9" s="14" t="n">
        <f aca="false">E7+E8</f>
        <v>667</v>
      </c>
    </row>
    <row r="10" customFormat="false" ht="15" hidden="false" customHeight="true" outlineLevel="0" collapsed="false">
      <c r="B10" s="8" t="s">
        <v>25</v>
      </c>
      <c r="C10" s="15" t="n">
        <f aca="false">C9/C6</f>
        <v>0.0557142857142857</v>
      </c>
      <c r="D10" s="15" t="n">
        <f aca="false">D9/D6</f>
        <v>0.0569007633587786</v>
      </c>
      <c r="E10" s="15" t="n">
        <f aca="false">E9/E6</f>
        <v>0.0645692158760891</v>
      </c>
    </row>
    <row r="11" customFormat="false" ht="15" hidden="false" customHeight="true" outlineLevel="0" collapsed="false">
      <c r="B11" s="8" t="s">
        <v>26</v>
      </c>
      <c r="C11" s="15" t="n">
        <f aca="false">C7/C6</f>
        <v>0.0217142857142857</v>
      </c>
      <c r="D11" s="15" t="n">
        <f aca="false">D7/D6</f>
        <v>0.0229007633587786</v>
      </c>
      <c r="E11" s="15" t="n">
        <f aca="false">E7/E6</f>
        <v>0.0196515004840271</v>
      </c>
    </row>
    <row r="14" customFormat="false" ht="15" hidden="false" customHeight="true" outlineLevel="0" collapsed="false">
      <c r="B14" s="6" t="s">
        <v>27</v>
      </c>
      <c r="C14" s="6"/>
      <c r="D14" s="6"/>
      <c r="E14" s="6"/>
      <c r="F14" s="6"/>
    </row>
    <row r="15" customFormat="false" ht="15" hidden="false" customHeight="true" outlineLevel="0" collapsed="false">
      <c r="B15" s="6"/>
      <c r="C15" s="6"/>
      <c r="D15" s="6"/>
      <c r="E15" s="6"/>
      <c r="F15" s="6"/>
    </row>
    <row r="16" customFormat="false" ht="15" hidden="false" customHeight="true" outlineLevel="0" collapsed="false">
      <c r="B16" s="6"/>
      <c r="C16" s="6"/>
      <c r="D16" s="6"/>
      <c r="E16" s="6"/>
      <c r="F16" s="6"/>
    </row>
    <row r="17" customFormat="false" ht="15" hidden="false" customHeight="true" outlineLevel="0" collapsed="false">
      <c r="B17" s="6"/>
      <c r="C17" s="6"/>
      <c r="D17" s="6"/>
      <c r="E17" s="6"/>
      <c r="F17" s="6"/>
    </row>
    <row r="18" customFormat="false" ht="15" hidden="false" customHeight="true" outlineLevel="0" collapsed="false">
      <c r="B18" s="6"/>
      <c r="C18" s="6"/>
      <c r="D18" s="6"/>
      <c r="E18" s="6"/>
      <c r="F18" s="6"/>
    </row>
    <row r="20" customFormat="false" ht="15" hidden="false" customHeight="true" outlineLevel="0" collapsed="false">
      <c r="B20" s="16" t="s">
        <v>28</v>
      </c>
      <c r="C20" s="16"/>
      <c r="D20" s="16"/>
      <c r="E20" s="16"/>
      <c r="F20" s="16"/>
    </row>
    <row r="21" customFormat="false" ht="15" hidden="false" customHeight="true" outlineLevel="0" collapsed="false">
      <c r="B21" s="10" t="s">
        <v>29</v>
      </c>
      <c r="E21" s="11" t="n">
        <v>183</v>
      </c>
    </row>
    <row r="22" customFormat="false" ht="27.75" hidden="false" customHeight="true" outlineLevel="0" collapsed="false">
      <c r="B22" s="17" t="s">
        <v>30</v>
      </c>
      <c r="C22" s="17"/>
      <c r="D22" s="17"/>
      <c r="E22" s="17"/>
      <c r="F22" s="17"/>
    </row>
    <row r="23" customFormat="false" ht="27.75" hidden="false" customHeight="true" outlineLevel="0" collapsed="false">
      <c r="B23" s="17"/>
      <c r="C23" s="17"/>
      <c r="D23" s="17"/>
      <c r="E23" s="17"/>
      <c r="F23" s="17"/>
    </row>
    <row r="25" customFormat="false" ht="25.5" hidden="false" customHeight="true" outlineLevel="0" collapsed="false">
      <c r="B25" s="18" t="s">
        <v>31</v>
      </c>
      <c r="C25" s="18"/>
      <c r="D25" s="18"/>
      <c r="E25" s="18"/>
      <c r="F25" s="18"/>
    </row>
    <row r="26" customFormat="false" ht="27.75" hidden="false" customHeight="true" outlineLevel="0" collapsed="false">
      <c r="B26" s="17" t="s">
        <v>32</v>
      </c>
      <c r="C26" s="17"/>
      <c r="D26" s="17"/>
      <c r="E26" s="17"/>
      <c r="F26" s="17"/>
    </row>
    <row r="27" customFormat="false" ht="27.75" hidden="false" customHeight="true" outlineLevel="0" collapsed="false">
      <c r="B27" s="17"/>
      <c r="C27" s="17"/>
      <c r="D27" s="17"/>
      <c r="E27" s="17"/>
      <c r="F27" s="17"/>
    </row>
    <row r="29" customFormat="false" ht="15" hidden="false" customHeight="true" outlineLevel="0" collapsed="false">
      <c r="B29" s="10" t="s">
        <v>33</v>
      </c>
      <c r="E29" s="11" t="n">
        <v>667</v>
      </c>
    </row>
    <row r="30" customFormat="false" ht="15" hidden="false" customHeight="true" outlineLevel="0" collapsed="false">
      <c r="B30" s="10" t="s">
        <v>34</v>
      </c>
      <c r="E30" s="14" t="n">
        <f aca="false">E9-E29</f>
        <v>0</v>
      </c>
    </row>
  </sheetData>
  <mergeCells count="5">
    <mergeCell ref="B14:F18"/>
    <mergeCell ref="B20:F20"/>
    <mergeCell ref="B22:F23"/>
    <mergeCell ref="B25:F25"/>
    <mergeCell ref="B26:F27"/>
  </mergeCells>
  <printOptions headings="false" gridLines="false" gridLinesSet="true" horizontalCentered="false" verticalCentered="false"/>
  <pageMargins left="0.25" right="0.25"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8"/>
    <col collapsed="false" customWidth="true" hidden="false" outlineLevel="0" max="3" min="3" style="1" width="14"/>
    <col collapsed="false" customWidth="true" hidden="false" outlineLevel="0" max="5" min="5" style="1" width="46"/>
  </cols>
  <sheetData>
    <row r="2" customFormat="false" ht="18" hidden="false" customHeight="true" outlineLevel="0" collapsed="false">
      <c r="B2" s="2" t="s">
        <v>35</v>
      </c>
    </row>
    <row r="3" customFormat="false" ht="15" hidden="false" customHeight="true" outlineLevel="0" collapsed="false">
      <c r="B3" s="4" t="s">
        <v>2</v>
      </c>
    </row>
    <row r="5" customFormat="false" ht="18" hidden="false" customHeight="true" outlineLevel="0" collapsed="false">
      <c r="B5" s="19" t="s">
        <v>36</v>
      </c>
      <c r="C5" s="20"/>
      <c r="D5" s="20"/>
      <c r="E5" s="20"/>
      <c r="F5" s="20"/>
      <c r="G5" s="20"/>
    </row>
    <row r="6" customFormat="false" ht="15" hidden="false" customHeight="true" outlineLevel="0" collapsed="false">
      <c r="B6" s="8" t="s">
        <v>37</v>
      </c>
      <c r="C6" s="11" t="n">
        <v>203</v>
      </c>
    </row>
    <row r="7" customFormat="false" ht="15" hidden="false" customHeight="true" outlineLevel="0" collapsed="false">
      <c r="B7" s="8" t="s">
        <v>38</v>
      </c>
      <c r="C7" s="11" t="n">
        <v>-123</v>
      </c>
    </row>
    <row r="8" customFormat="false" ht="15" hidden="false" customHeight="true" outlineLevel="0" collapsed="false">
      <c r="B8" s="8" t="s">
        <v>39</v>
      </c>
      <c r="C8" s="11" t="n">
        <v>-60</v>
      </c>
    </row>
    <row r="9" customFormat="false" ht="15" hidden="false" customHeight="true" outlineLevel="0" collapsed="false">
      <c r="B9" s="8" t="s">
        <v>40</v>
      </c>
      <c r="C9" s="21" t="n">
        <v>-166</v>
      </c>
      <c r="E9" s="4" t="s">
        <v>41</v>
      </c>
    </row>
    <row r="10" customFormat="false" ht="15" hidden="false" customHeight="true" outlineLevel="0" collapsed="false">
      <c r="B10" s="8" t="s">
        <v>42</v>
      </c>
      <c r="C10" s="22" t="n">
        <f aca="false">SUM(C6:C9)</f>
        <v>-146</v>
      </c>
    </row>
    <row r="12" customFormat="false" ht="15" hidden="false" customHeight="true" outlineLevel="0" collapsed="false">
      <c r="B12" s="8" t="s">
        <v>43</v>
      </c>
      <c r="C12" s="11" t="n">
        <v>-146</v>
      </c>
    </row>
    <row r="13" customFormat="false" ht="15" hidden="false" customHeight="true" outlineLevel="0" collapsed="false">
      <c r="B13" s="8" t="s">
        <v>44</v>
      </c>
      <c r="C13" s="23" t="n">
        <f aca="false">C10-C12</f>
        <v>0</v>
      </c>
    </row>
    <row r="16" customFormat="false" ht="15" hidden="false" customHeight="true" outlineLevel="0" collapsed="false">
      <c r="B16" s="6" t="s">
        <v>45</v>
      </c>
      <c r="C16" s="6"/>
      <c r="D16" s="6"/>
      <c r="E16" s="6"/>
      <c r="F16" s="6"/>
    </row>
    <row r="17" customFormat="false" ht="15" hidden="false" customHeight="true" outlineLevel="0" collapsed="false">
      <c r="B17" s="6"/>
      <c r="C17" s="6"/>
      <c r="D17" s="6"/>
      <c r="E17" s="6"/>
      <c r="F17" s="6"/>
    </row>
    <row r="18" customFormat="false" ht="15" hidden="false" customHeight="true" outlineLevel="0" collapsed="false">
      <c r="B18" s="6"/>
      <c r="C18" s="6"/>
      <c r="D18" s="6"/>
      <c r="E18" s="6"/>
      <c r="F18" s="6"/>
    </row>
    <row r="19" customFormat="false" ht="15" hidden="false" customHeight="true" outlineLevel="0" collapsed="false">
      <c r="B19" s="6"/>
      <c r="C19" s="6"/>
      <c r="D19" s="6"/>
      <c r="E19" s="6"/>
      <c r="F19" s="6"/>
    </row>
  </sheetData>
  <mergeCells count="1">
    <mergeCell ref="B16:F19"/>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00"/>
  </cols>
  <sheetData>
    <row r="2" customFormat="false" ht="18" hidden="false" customHeight="true" outlineLevel="0" collapsed="false">
      <c r="B2" s="2" t="s">
        <v>11</v>
      </c>
    </row>
    <row r="4" customFormat="false" ht="15" hidden="false" customHeight="true" outlineLevel="0" collapsed="false">
      <c r="B4" s="10" t="s">
        <v>46</v>
      </c>
    </row>
    <row r="5" customFormat="false" ht="30" hidden="false" customHeight="true" outlineLevel="0" collapsed="false">
      <c r="B5" s="17" t="s">
        <v>47</v>
      </c>
      <c r="C5" s="17"/>
      <c r="D5" s="17"/>
      <c r="E5" s="17"/>
      <c r="F5" s="17"/>
    </row>
    <row r="6" customFormat="false" ht="30" hidden="false" customHeight="true" outlineLevel="0" collapsed="false">
      <c r="B6" s="17"/>
      <c r="C6" s="17"/>
      <c r="D6" s="17"/>
      <c r="E6" s="17"/>
      <c r="F6" s="17"/>
    </row>
    <row r="8" customFormat="false" ht="15" hidden="false" customHeight="true" outlineLevel="0" collapsed="false">
      <c r="B8" s="10" t="s">
        <v>48</v>
      </c>
    </row>
    <row r="9" customFormat="false" ht="30" hidden="false" customHeight="true" outlineLevel="0" collapsed="false">
      <c r="B9" s="17" t="s">
        <v>49</v>
      </c>
      <c r="C9" s="17"/>
      <c r="D9" s="17"/>
      <c r="E9" s="17"/>
      <c r="F9" s="17"/>
    </row>
    <row r="10" customFormat="false" ht="15" hidden="false" customHeight="true" outlineLevel="0" collapsed="false">
      <c r="B10" s="17"/>
      <c r="C10" s="17"/>
      <c r="D10" s="17"/>
      <c r="E10" s="17"/>
      <c r="F10" s="17"/>
    </row>
    <row r="12" customFormat="false" ht="15" hidden="false" customHeight="true" outlineLevel="0" collapsed="false">
      <c r="B12" s="10" t="s">
        <v>50</v>
      </c>
    </row>
    <row r="13" customFormat="false" ht="30" hidden="false" customHeight="true" outlineLevel="0" collapsed="false">
      <c r="B13" s="17" t="s">
        <v>51</v>
      </c>
      <c r="C13" s="17"/>
      <c r="D13" s="17"/>
      <c r="E13" s="17"/>
      <c r="F13" s="17"/>
    </row>
    <row r="14" customFormat="false" ht="15" hidden="false" customHeight="true" outlineLevel="0" collapsed="false">
      <c r="B14" s="17"/>
      <c r="C14" s="17"/>
      <c r="D14" s="17"/>
      <c r="E14" s="17"/>
      <c r="F14" s="17"/>
    </row>
    <row r="16" customFormat="false" ht="15" hidden="false" customHeight="true" outlineLevel="0" collapsed="false">
      <c r="B16" s="10" t="s">
        <v>52</v>
      </c>
    </row>
    <row r="17" customFormat="false" ht="30" hidden="false" customHeight="true" outlineLevel="0" collapsed="false">
      <c r="B17" s="17" t="s">
        <v>53</v>
      </c>
      <c r="C17" s="17"/>
      <c r="D17" s="17"/>
      <c r="E17" s="17"/>
      <c r="F17" s="17"/>
    </row>
    <row r="18" customFormat="false" ht="15" hidden="false" customHeight="true" outlineLevel="0" collapsed="false">
      <c r="B18" s="17"/>
      <c r="C18" s="17"/>
      <c r="D18" s="17"/>
      <c r="E18" s="17"/>
      <c r="F18" s="17"/>
    </row>
    <row r="20" customFormat="false" ht="15" hidden="false" customHeight="true" outlineLevel="0" collapsed="false">
      <c r="B20" s="10" t="s">
        <v>54</v>
      </c>
    </row>
    <row r="21" customFormat="false" ht="30" hidden="false" customHeight="true" outlineLevel="0" collapsed="false">
      <c r="B21" s="17" t="s">
        <v>55</v>
      </c>
      <c r="C21" s="17"/>
      <c r="D21" s="17"/>
      <c r="E21" s="17"/>
      <c r="F21" s="17"/>
    </row>
    <row r="22" customFormat="false" ht="15" hidden="false" customHeight="true" outlineLevel="0" collapsed="false">
      <c r="B22" s="17"/>
      <c r="C22" s="17"/>
      <c r="D22" s="17"/>
      <c r="E22" s="17"/>
      <c r="F22" s="17"/>
    </row>
  </sheetData>
  <mergeCells count="5">
    <mergeCell ref="B5:F6"/>
    <mergeCell ref="B9:F10"/>
    <mergeCell ref="B13:F14"/>
    <mergeCell ref="B17:F18"/>
    <mergeCell ref="B21:F2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62"/>
    <col collapsed="false" customWidth="true" hidden="false" outlineLevel="0" max="3" min="3" style="1" width="13"/>
    <col collapsed="false" customWidth="true" hidden="false" outlineLevel="0" max="4" min="4" style="1" width="16"/>
    <col collapsed="false" customWidth="true" hidden="false" outlineLevel="0" max="5" min="5" style="1" width="13"/>
  </cols>
  <sheetData>
    <row r="2" customFormat="false" ht="18" hidden="false" customHeight="true" outlineLevel="0" collapsed="false">
      <c r="B2" s="2" t="s">
        <v>13</v>
      </c>
    </row>
    <row r="5" customFormat="false" ht="15" hidden="false" customHeight="true" outlineLevel="0" collapsed="false">
      <c r="B5" s="10" t="s">
        <v>56</v>
      </c>
      <c r="D5" s="10" t="s">
        <v>57</v>
      </c>
    </row>
    <row r="6" customFormat="false" ht="27.75" hidden="false" customHeight="true" outlineLevel="0" collapsed="false">
      <c r="B6" s="24" t="s">
        <v>58</v>
      </c>
      <c r="D6" s="10" t="str">
        <f aca="false">IF(ROUND('EBIT to Net Income Bridge'!C13,1)=0,"OK","A VERIFIER")</f>
        <v>OK</v>
      </c>
    </row>
    <row r="7" customFormat="false" ht="27.75" hidden="false" customHeight="true" outlineLevel="0" collapsed="false">
      <c r="B7" s="24" t="s">
        <v>59</v>
      </c>
      <c r="D7" s="10" t="str">
        <f aca="false">IF(AND('Quality of Earnings'!D7&gt;'Quality of Earnings'!C7,'Quality of Earnings'!E7&gt;'Quality of Earnings'!D7),"OK","A VERIFIER")</f>
        <v>OK</v>
      </c>
    </row>
    <row r="8" customFormat="false" ht="27.75" hidden="false" customHeight="true" outlineLevel="0" collapsed="false">
      <c r="B8" s="24" t="s">
        <v>60</v>
      </c>
      <c r="D8" s="10" t="str">
        <f aca="false">IF(AND(MIN('Quality of Earnings'!C10:E10)&gt;0.03,MAX('Quality of Earnings'!C10:E10)&lt;0.1),"OK","A VERIFIER")</f>
        <v>OK</v>
      </c>
    </row>
    <row r="9" customFormat="false" ht="27.75" hidden="false" customHeight="true" outlineLevel="0" collapsed="false">
      <c r="B9" s="25" t="s">
        <v>61</v>
      </c>
      <c r="D9" s="10" t="str">
        <f aca="false">IF(ROUND('Quality of Earnings'!E30,0)=0,"OK","A VERIFIER")</f>
        <v>OK</v>
      </c>
    </row>
    <row r="10" customFormat="false" ht="15" hidden="false" customHeight="true" outlineLevel="0" collapsed="false">
      <c r="B10" s="10" t="s">
        <v>62</v>
      </c>
      <c r="C10" s="10" t="str">
        <f aca="false">IF(COUNTIF(D6:D9,"OK")=4,"Tous les contrôles sont OK","Au moins un contrôle à vérifier")</f>
        <v>Tous les contrôles sont OK</v>
      </c>
    </row>
    <row r="12" customFormat="false" ht="27.75" hidden="false" customHeight="true" outlineLevel="0" collapsed="false">
      <c r="B12" s="26" t="s">
        <v>63</v>
      </c>
      <c r="C12" s="26"/>
      <c r="D12" s="26"/>
      <c r="E12" s="26"/>
    </row>
  </sheetData>
  <mergeCells count="1">
    <mergeCell ref="B12:E12"/>
  </mergeCells>
  <conditionalFormatting sqref="D6:D9">
    <cfRule type="expression" priority="2" aboveAverage="0" equalAverage="0" bottom="0" percent="0" rank="0" text="" dxfId="0">
      <formula>D6="OK"</formula>
    </cfRule>
    <cfRule type="expression" priority="3" aboveAverage="0" equalAverage="0" bottom="0" percent="0" rank="0" text="" dxfId="1">
      <formula>D6&lt;&gt;"OK"</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2026-10-12T16:54:09Z</dcterms:created>
  <dc:creator>openpyxl</dc:creator>
  <dc:description/>
  <dc:language>en-US</dc:language>
  <cp:lastModifiedBy/>
  <dcterms:modified xsi:type="dcterms:W3CDTF">2026-10-13T20:33:07Z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