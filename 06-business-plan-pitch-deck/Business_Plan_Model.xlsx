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venue Build" sheetId="3" state="visible" r:id="rId5"/>
    <sheet name="P&amp;L" sheetId="4" state="visible" r:id="rId6"/>
    <sheet name="Cash Flow" sheetId="5" state="visible" r:id="rId7"/>
    <sheet name="Funding &amp; Cap Table" sheetId="6" state="visible" r:id="rId8"/>
    <sheet name="Dashboard" sheetId="7" state="visible" r:id="rId9"/>
    <sheet name="Checks" sheetId="8" state="visible" r:id="rId10"/>
  </sheets>
  <definedNames>
    <definedName function="false" hidden="false" localSheetId="1" name="_xlnm.Print_Area" vbProcedure="false">Assumptions!$A$1:$G$58</definedName>
    <definedName function="false" hidden="false" localSheetId="4" name="_xlnm.Print_Area" vbProcedure="false">'Cash Flow'!$A$1:$G$22</definedName>
    <definedName function="false" hidden="false" localSheetId="7" name="_xlnm.Print_Area" vbProcedure="false">Checks!$A$1:$F$11</definedName>
    <definedName function="false" hidden="false" localSheetId="0" name="_xlnm.Print_Area" vbProcedure="false">Cover!$A$1:$G$30</definedName>
    <definedName function="false" hidden="false" localSheetId="6" name="_xlnm.Print_Area" vbProcedure="false">Dashboard!$A$1:$U$41</definedName>
    <definedName function="false" hidden="false" localSheetId="5" name="_xlnm.Print_Area" vbProcedure="false">'Funding &amp; Cap Table'!$A$1:$G$45</definedName>
    <definedName function="false" hidden="false" localSheetId="3" name="_xlnm.Print_Area" vbProcedure="false">'P&amp;L'!$A$1:$G$26</definedName>
    <definedName function="false" hidden="false" localSheetId="2" name="_xlnm.Print_Area" vbProcedure="false">'Revenue Build'!$A$1:$G$29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<sst xmlns="http://schemas.openxmlformats.org/spreadsheetml/2006/main" count="201" uniqueCount="167">
  <si>
    <t xml:space="preserve">Business Plan &amp; Pitch Deck - KobaPay (épargne et paiement mobile, UEMOA)</t>
  </si>
  <si>
    <t xml:space="preserve">Exercice de formation - Yvann Ahoure</t>
  </si>
  <si>
    <t xml:space="preserve">Toutes les valeurs d'exploitation sont en millions de FCFA (M FCFA) ; la levée de fonds est exprimée en euros (EUR).</t>
  </si>
  <si>
    <t xml:space="preserve">Nature de l'exercice</t>
  </si>
  <si>
    <t xml:space="preserve">KobaPay est une startup fictive, créée pour ce portfolio afin de démontrer la construction d'un business plan complet et d'un pitch deck d'investisseurs. Les données de marché citées (taux d'inclusion financière UEMOA, volumes de transactions mobile money) sont réelles et sourcées - voir Sources ci-dessous. Toutes les données propres à KobaPay (utilisateurs, revenus, coûts, levée de fonds, valorisation) sont des hypothèses inventées pour l'exercice et ne décrivent aucune société réelle.</t>
  </si>
  <si>
    <t xml:space="preserve">Concept</t>
  </si>
  <si>
    <t xml:space="preserve">Plateforme mobile de paiement et d'épargne de groupe digitalisée (tontine), ciblant les utilisateurs non ou sous-bancarisés de la zone UEMOA (lancement en Côte d'Ivoire, extension au Sénégal à partir de l'année 3). Trois sources de revenu construites progressivement : commission sur les transferts et paiements marchands, frais de gestion sur l'épargne de groupe, puis marge nette d'intérêt sur le micro-crédit à partir de l'année 3, une fois l'historique d'épargne des utilisateurs disponible.</t>
  </si>
  <si>
    <t xml:space="preserve">Sommaire</t>
  </si>
  <si>
    <t xml:space="preserve">Assumptions</t>
  </si>
  <si>
    <t xml:space="preserve">Hypothèses de croissance, de revenu, de coûts et de financement</t>
  </si>
  <si>
    <t xml:space="preserve">Revenue Build</t>
  </si>
  <si>
    <t xml:space="preserve">Construction du chiffre d'affaires par ligne de produit (transactionnel, épargne, crédit)</t>
  </si>
  <si>
    <t xml:space="preserve">P&amp;L</t>
  </si>
  <si>
    <t xml:space="preserve">Compte de résultat sur 5 ans (2027F-2031F)</t>
  </si>
  <si>
    <t xml:space="preserve">Cash Flow</t>
  </si>
  <si>
    <t xml:space="preserve">Trésorerie, financement et trajectoire de runway</t>
  </si>
  <si>
    <t xml:space="preserve">Funding &amp; Cap Table</t>
  </si>
  <si>
    <t xml:space="preserve">Levée de fonds, valorisation, table de capitalisation, utilisation des fonds</t>
  </si>
  <si>
    <t xml:space="preserve">Dashboard</t>
  </si>
  <si>
    <t xml:space="preserve">Graphiques de synthèse</t>
  </si>
  <si>
    <t xml:space="preserve">Checks</t>
  </si>
  <si>
    <t xml:space="preserve">Contrôles de cohérence du modèle</t>
  </si>
  <si>
    <t xml:space="preserve">Sources (données de marché réelles)</t>
  </si>
  <si>
    <t xml:space="preserve">- BCEAO/UEMOA, Stratégie régionale d'inclusion financière 2025-2030 : taux d'inclusion financière de 72,3 % en 2023 (contre 47 % en 2016), cible de 90 % d'ici 2030.</t>
  </si>
  <si>
    <t xml:space="preserve">- GSMA, State of the Industry Report on Mobile Money 2026 : 498 Md$ de valeur de transactions mobile money en Afrique de l'Ouest en 2025.</t>
  </si>
  <si>
    <t xml:space="preserve">- Taux de change FCFA/EUR : parité fixe de 655,957 FCFA pour 1 EUR (zone UEMOA, arrimage à l'euro).</t>
  </si>
  <si>
    <t xml:space="preserve">Hypothèses - KobaPay</t>
  </si>
  <si>
    <t xml:space="preserve">Cellules bleues = hypothèses modifiables. Toutes les hypothèses propres à KobaPay sont inventées pour l'exercice.</t>
  </si>
  <si>
    <t xml:space="preserve">Croissance utilisateurs</t>
  </si>
  <si>
    <t xml:space="preserve">Utilisateurs actifs, année 1 (2027F)</t>
  </si>
  <si>
    <t xml:space="preserve">Croissance utilisateurs, année 2</t>
  </si>
  <si>
    <t xml:space="preserve">Croissance utilisateurs, année 3</t>
  </si>
  <si>
    <t xml:space="preserve">Croissance utilisateurs, année 4</t>
  </si>
  <si>
    <t xml:space="preserve">Croissance utilisateurs, année 5</t>
  </si>
  <si>
    <t xml:space="preserve">Revenu transactionnel</t>
  </si>
  <si>
    <t xml:space="preserve">Volume transactionnel mensuel moyen par utilisateur actif, année 1 (FCFA)</t>
  </si>
  <si>
    <t xml:space="preserve">Croissance annuelle du volume moyen par utilisateur</t>
  </si>
  <si>
    <t xml:space="preserve">Taux de commission (take rate) sur le volume transactionnel</t>
  </si>
  <si>
    <t xml:space="preserve">Épargne de groupe (tontine digitale)</t>
  </si>
  <si>
    <t xml:space="preserve">% des utilisateurs actifs utilisant le produit d'épargne</t>
  </si>
  <si>
    <t xml:space="preserve">Solde d'épargne moyen par épargnant, année 1 (FCFA)</t>
  </si>
  <si>
    <t xml:space="preserve">Croissance annuelle du solde moyen</t>
  </si>
  <si>
    <t xml:space="preserve">Frais de gestion annuel sur encours d'épargne (AUM)</t>
  </si>
  <si>
    <t xml:space="preserve">Micro-crédit (lancement année 3)</t>
  </si>
  <si>
    <t xml:space="preserve">% des épargnants utilisant le micro-crédit, à partir de l'année 3</t>
  </si>
  <si>
    <t xml:space="preserve">Encours de crédit moyen par emprunteur (FCFA)</t>
  </si>
  <si>
    <t xml:space="preserve">Marge nette d'intérêt sur encours de crédit</t>
  </si>
  <si>
    <t xml:space="preserve">Coûts d'acquisition et d'exploitation</t>
  </si>
  <si>
    <t xml:space="preserve">Coût d'acquisition client (CAC), année 1 (FCFA / nouvel utilisateur)</t>
  </si>
  <si>
    <t xml:space="preserve">Baisse annuelle du CAC (gains d'efficacité)</t>
  </si>
  <si>
    <t xml:space="preserve">Coûts techniques et hébergement (% du chiffre d'affaires)</t>
  </si>
  <si>
    <t xml:space="preserve">Taux d'IS (UEMOA)</t>
  </si>
  <si>
    <t xml:space="preserve">Postes de coûts par année (M FCFA)</t>
  </si>
  <si>
    <t xml:space="preserve">2027F</t>
  </si>
  <si>
    <t xml:space="preserve">2028F</t>
  </si>
  <si>
    <t xml:space="preserve">2029F</t>
  </si>
  <si>
    <t xml:space="preserve">2030F</t>
  </si>
  <si>
    <t xml:space="preserve">2031F</t>
  </si>
  <si>
    <t xml:space="preserve">Masse salariale (M FCFA)</t>
  </si>
  <si>
    <t xml:space="preserve">Frais généraux et administratifs (M FCFA)</t>
  </si>
  <si>
    <t xml:space="preserve">Conformité réglementaire et licence EME (M FCFA)</t>
  </si>
  <si>
    <t xml:space="preserve">Capex (M FCFA)</t>
  </si>
  <si>
    <t xml:space="preserve">Durée d'amortissement des investissements (années)</t>
  </si>
  <si>
    <t xml:space="preserve">Variation du BFR (% de la variation du chiffre d'affaires)</t>
  </si>
  <si>
    <t xml:space="preserve">Taux de rémunération de la trésorerie</t>
  </si>
  <si>
    <t xml:space="preserve">Financement (levée de fonds)</t>
  </si>
  <si>
    <t xml:space="preserve">Apport initial des fondateurs (EUR)</t>
  </si>
  <si>
    <t xml:space="preserve">Montant de la levée - seed round (EUR)</t>
  </si>
  <si>
    <t xml:space="preserve">Valorisation pre-money (EUR)</t>
  </si>
  <si>
    <t xml:space="preserve">Taux de change FCFA/EUR (parité fixe UEMOA)</t>
  </si>
  <si>
    <t xml:space="preserve">Pool ESOP créé à la levée (% post-money)</t>
  </si>
  <si>
    <t xml:space="preserve">Répartition de l'utilisation des fonds</t>
  </si>
  <si>
    <t xml:space="preserve">Produit et technologie</t>
  </si>
  <si>
    <t xml:space="preserve">Acquisition et marketing</t>
  </si>
  <si>
    <t xml:space="preserve">Recrutement équipe clé</t>
  </si>
  <si>
    <t xml:space="preserve">Conformité réglementaire et licence EME</t>
  </si>
  <si>
    <t xml:space="preserve">Total (contrôle)</t>
  </si>
  <si>
    <t xml:space="preserve">CAC par année, calculé (FCFA / nouvel utilisateur)</t>
  </si>
  <si>
    <t xml:space="preserve">Revenue Build - KobaPay</t>
  </si>
  <si>
    <t xml:space="preserve">Toutes les valeurs sont en millions de FCFA (M FCFA), sauf utilisateurs (nombre) et volumes/soldes unitaires (FCFA).</t>
  </si>
  <si>
    <t xml:space="preserve">Utilisateurs actifs (fin d'année)</t>
  </si>
  <si>
    <t xml:space="preserve">Nouveaux utilisateurs dans l'année</t>
  </si>
  <si>
    <t xml:space="preserve">Volume transactionnel mensuel moyen / utilisateur (FCFA)</t>
  </si>
  <si>
    <t xml:space="preserve">Volume transactionnel annuel (M FCFA)</t>
  </si>
  <si>
    <t xml:space="preserve">Revenu transactionnel (M FCFA)</t>
  </si>
  <si>
    <t xml:space="preserve">Revenu épargne (tontine digitale)</t>
  </si>
  <si>
    <t xml:space="preserve">% utilisateurs épargnants</t>
  </si>
  <si>
    <t xml:space="preserve">Nombre d'épargnants</t>
  </si>
  <si>
    <t xml:space="preserve">Solde d'épargne moyen par épargnant (FCFA)</t>
  </si>
  <si>
    <t xml:space="preserve">Encours d'épargne géré - AUM (M FCFA)</t>
  </si>
  <si>
    <t xml:space="preserve">Revenu épargne (M FCFA)</t>
  </si>
  <si>
    <t xml:space="preserve">Revenu micro-crédit (à partir de l'année 3)</t>
  </si>
  <si>
    <t xml:space="preserve">% épargnants utilisant le micro-crédit</t>
  </si>
  <si>
    <t xml:space="preserve">Nombre d'emprunteurs</t>
  </si>
  <si>
    <t xml:space="preserve">Encours de crédit moyen (FCFA)</t>
  </si>
  <si>
    <t xml:space="preserve">Encours de crédit total (M FCFA)</t>
  </si>
  <si>
    <t xml:space="preserve">Revenu micro-crédit - marge nette d'intérêt (M FCFA)</t>
  </si>
  <si>
    <t xml:space="preserve">Chiffre d'affaires total</t>
  </si>
  <si>
    <t xml:space="preserve">Chiffre d'affaires total (M FCFA)</t>
  </si>
  <si>
    <t xml:space="preserve">Compte de résultat (P&amp;L) - KobaPay</t>
  </si>
  <si>
    <t xml:space="preserve">Toutes les valeurs sont en millions de FCFA (M FCFA).</t>
  </si>
  <si>
    <t xml:space="preserve">Chiffre d'affaires</t>
  </si>
  <si>
    <t xml:space="preserve">Charges opérationnelles</t>
  </si>
  <si>
    <t xml:space="preserve">Coût d'acquisition clients</t>
  </si>
  <si>
    <t xml:space="preserve">Coûts techniques et hébergement</t>
  </si>
  <si>
    <t xml:space="preserve">Masse salariale</t>
  </si>
  <si>
    <t xml:space="preserve">Frais généraux et administratifs</t>
  </si>
  <si>
    <t xml:space="preserve">Conformité réglementaire et licence</t>
  </si>
  <si>
    <t xml:space="preserve">Total charges opérationnelles</t>
  </si>
  <si>
    <t xml:space="preserve">EBITDA</t>
  </si>
  <si>
    <t xml:space="preserve">Marge d'EBITDA (%)</t>
  </si>
  <si>
    <t xml:space="preserve">Amortissements et résultat</t>
  </si>
  <si>
    <t xml:space="preserve">Capex (pour mémoire)</t>
  </si>
  <si>
    <t xml:space="preserve">D&amp;A (amortissement linéaire, base cumulée)</t>
  </si>
  <si>
    <t xml:space="preserve">EBIT</t>
  </si>
  <si>
    <t xml:space="preserve">Produits financiers (intérêts sur trésorerie)</t>
  </si>
  <si>
    <t xml:space="preserve">Résultat avant impôt (EBT)</t>
  </si>
  <si>
    <t xml:space="preserve">Impôt sur les sociétés</t>
  </si>
  <si>
    <t xml:space="preserve">Résultat net</t>
  </si>
  <si>
    <t xml:space="preserve">Trésorerie et financement - KobaPay</t>
  </si>
  <si>
    <t xml:space="preserve">Toutes les valeurs sont en millions de FCFA (M FCFA), converties au taux de change fixe FCFA/EUR.</t>
  </si>
  <si>
    <t xml:space="preserve">+ D&amp;A (charge non monétaire)</t>
  </si>
  <si>
    <t xml:space="preserve">- Capex</t>
  </si>
  <si>
    <t xml:space="preserve">- Variation du BFR</t>
  </si>
  <si>
    <t xml:space="preserve">Flux de trésorerie d'exploitation et d'investissement</t>
  </si>
  <si>
    <t xml:space="preserve">Financement</t>
  </si>
  <si>
    <t xml:space="preserve">+ Apport initial des fondateurs (M FCFA)</t>
  </si>
  <si>
    <t xml:space="preserve">+ Levée de fonds - seed round (M FCFA)</t>
  </si>
  <si>
    <t xml:space="preserve">Flux net de trésorerie de la période</t>
  </si>
  <si>
    <t xml:space="preserve">Trésorerie d'ouverture</t>
  </si>
  <si>
    <t xml:space="preserve">Trésorerie de clôture</t>
  </si>
  <si>
    <t xml:space="preserve">Contrôle : trésorerie toujours positive ?</t>
  </si>
  <si>
    <t xml:space="preserve">Lecture : l'apport des fondateurs et la levée de fonds (seed round) sont injectés en année 1 (2027F), convertis en FCFA au taux de change fixe. La trésorerie de clôture mesure le runway du financement face au rythme de consommation de cash (burn) avant que KobaPay n'atteigne la rentabilité.</t>
  </si>
  <si>
    <t xml:space="preserve">Levée de fonds et table de capitalisation - KobaPay</t>
  </si>
  <si>
    <t xml:space="preserve">Valeurs en euros (EUR), sauf mention contraire.</t>
  </si>
  <si>
    <t xml:space="preserve">Levée de fonds (seed round)</t>
  </si>
  <si>
    <t xml:space="preserve">Montant levé</t>
  </si>
  <si>
    <t xml:space="preserve">Valorisation pre-money</t>
  </si>
  <si>
    <t xml:space="preserve">Valorisation post-money</t>
  </si>
  <si>
    <t xml:space="preserve">% cédé aux nouveaux investisseurs</t>
  </si>
  <si>
    <t xml:space="preserve">Pool ESOP (% post-money)</t>
  </si>
  <si>
    <t xml:space="preserve">% conservé par les fondateurs</t>
  </si>
  <si>
    <t xml:space="preserve">Cap table (post-seed)</t>
  </si>
  <si>
    <t xml:space="preserve">Actionnaire</t>
  </si>
  <si>
    <t xml:space="preserve">% du capital</t>
  </si>
  <si>
    <t xml:space="preserve">Fondateurs</t>
  </si>
  <si>
    <t xml:space="preserve">Investisseurs seed</t>
  </si>
  <si>
    <t xml:space="preserve">Pool ESOP</t>
  </si>
  <si>
    <t xml:space="preserve">Utilisation des fonds</t>
  </si>
  <si>
    <t xml:space="preserve">Poste</t>
  </si>
  <si>
    <t xml:space="preserve">% de la levée</t>
  </si>
  <si>
    <t xml:space="preserve">Montant (EUR)</t>
  </si>
  <si>
    <t xml:space="preserve">Dashboard - KobaPay</t>
  </si>
  <si>
    <t xml:space="preserve">Toutes les valeurs sont en millions de FCFA (M FCFA), sauf mention contraire.</t>
  </si>
  <si>
    <t xml:space="preserve">Indicateurs clés</t>
  </si>
  <si>
    <t xml:space="preserve">Chiffre d'affaires (M FCFA)</t>
  </si>
  <si>
    <t xml:space="preserve">Trésorerie de clôture (M FCFA)</t>
  </si>
  <si>
    <t xml:space="preserve">Contrôles de cohérence - KobaPay</t>
  </si>
  <si>
    <t xml:space="preserve">Contrôle</t>
  </si>
  <si>
    <t xml:space="preserve">Résultat</t>
  </si>
  <si>
    <t xml:space="preserve">Statut</t>
  </si>
  <si>
    <t xml:space="preserve">Chiffre d'affaires : Revenue Build = P&amp;L (année 5)</t>
  </si>
  <si>
    <t xml:space="preserve">Cap table : somme = 100%</t>
  </si>
  <si>
    <t xml:space="preserve">Utilisation des fonds (table) : somme = 100%</t>
  </si>
  <si>
    <t xml:space="preserve">Utilisation des fonds (Assumptions) : somme = 100%</t>
  </si>
  <si>
    <t xml:space="preserve">Résultat net P&amp;L = Résultat net Cash Flow (année 5)</t>
  </si>
  <si>
    <t xml:space="preserve">Trésorerie jamais négative sur les 5 ans</t>
  </si>
</sst>
</file>

<file path=xl/styles.xml><?xml version="1.0" encoding="utf-8"?>
<styleSheet xmlns="http://schemas.openxmlformats.org/spreadsheetml/2006/main">
  <numFmts count="8">
    <numFmt numFmtId="164" formatCode="General"/>
    <numFmt numFmtId="165" formatCode="#,##0;\(#,##0\);\-"/>
    <numFmt numFmtId="166" formatCode="0.0%"/>
    <numFmt numFmtId="167" formatCode="0.00%"/>
    <numFmt numFmtId="168" formatCode="0.000"/>
    <numFmt numFmtId="169" formatCode="#,##0&quot; €&quot;"/>
    <numFmt numFmtId="170" formatCode="#,##0"/>
    <numFmt numFmtId="171"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name val="Arial"/>
      <family val="0"/>
      <charset val="1"/>
    </font>
    <font>
      <i val="true"/>
      <sz val="8"/>
      <color rgb="FF7F7F7F"/>
      <name val="Arial"/>
      <family val="0"/>
      <charset val="1"/>
    </font>
    <font>
      <b val="true"/>
      <sz val="10"/>
      <color rgb="FF1F3864"/>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E7F2FF"/>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E7F2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878787"/>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Utilisation des fonds (EUR)</a:t>
            </a:r>
          </a:p>
        </c:rich>
      </c:tx>
      <c:overlay val="0"/>
      <c:spPr>
        <a:noFill/>
        <a:ln w="0">
          <a:noFill/>
        </a:ln>
      </c:spPr>
    </c:title>
    <c:autoTitleDeleted val="0"/>
    <c:plotArea>
      <c:barChart>
        <c:barDir val="bar"/>
        <c:grouping val="clustered"/>
        <c:varyColors val="0"/>
        <c:ser>
          <c:idx val="0"/>
          <c:order val="0"/>
          <c:spPr>
            <a:solidFill>
              <a:srgbClr val="1f3864"/>
            </a:solidFill>
            <a:ln w="0">
              <a:noFill/>
            </a:ln>
          </c:spPr>
          <c:invertIfNegative val="0"/>
          <c:dLbls>
            <c:numFmt formatCode="#,##0&quot; €&quot;"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'Funding &amp; Cap Table'!$B$22:$B$25</c:f>
              <c:strCache>
                <c:ptCount val="4"/>
                <c:pt idx="0">
                  <c:v>Produit et technologie</c:v>
                </c:pt>
                <c:pt idx="1">
                  <c:v>Acquisition et marketing</c:v>
                </c:pt>
                <c:pt idx="2">
                  <c:v>Recrutement équipe clé</c:v>
                </c:pt>
                <c:pt idx="3">
                  <c:v>Conformité réglementaire et licence EME</c:v>
                </c:pt>
              </c:strCache>
            </c:strRef>
          </c:cat>
          <c:val>
            <c:numRef>
              <c:f>'Funding &amp; Cap Table'!$D$22:$D$25</c:f>
              <c:numCache>
                <c:formatCode>#,##0" €"</c:formatCode>
                <c:ptCount val="4"/>
                <c:pt idx="0">
                  <c:v>192500</c:v>
                </c:pt>
                <c:pt idx="1">
                  <c:v>165000</c:v>
                </c:pt>
                <c:pt idx="2">
                  <c:v>137500</c:v>
                </c:pt>
                <c:pt idx="3">
                  <c:v>55000</c:v>
                </c:pt>
              </c:numCache>
            </c:numRef>
          </c:val>
        </c:ser>
        <c:gapWidth val="150"/>
        <c:overlap val="0"/>
        <c:axId val="61919637"/>
        <c:axId val="77235343"/>
      </c:barChart>
      <c:catAx>
        <c:axId val="6191963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235343"/>
        <c:crosses val="autoZero"/>
        <c:auto val="1"/>
        <c:lblAlgn val="ctr"/>
        <c:lblOffset val="100"/>
        <c:noMultiLvlLbl val="0"/>
      </c:catAx>
      <c:valAx>
        <c:axId val="77235343"/>
        <c:scaling>
          <c:orientation val="minMax"/>
        </c:scaling>
        <c:delete val="0"/>
        <c:axPos val="l"/>
        <c:majorGridlines>
          <c:spPr>
            <a:ln w="9360">
              <a:solidFill>
                <a:srgbClr val="878787"/>
              </a:solidFill>
              <a:round/>
            </a:ln>
          </c:spPr>
        </c:majorGridlines>
        <c:numFmt formatCode="#,##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9196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et marge d'EBITDA, 2027F-2031F</a:t>
            </a:r>
          </a:p>
        </c:rich>
      </c:tx>
      <c:overlay val="0"/>
      <c:spPr>
        <a:noFill/>
        <a:ln w="0">
          <a:noFill/>
        </a:ln>
      </c:spPr>
    </c:title>
    <c:autoTitleDeleted val="0"/>
    <c:plotArea>
      <c:barChart>
        <c:barDir val="col"/>
        <c:grouping val="clustered"/>
        <c:varyColors val="0"/>
        <c:ser>
          <c:idx val="0"/>
          <c:order val="0"/>
          <c:tx>
            <c:strRef>
              <c:f>Dashboard!B7</c:f>
              <c:strCache>
                <c:ptCount val="1"/>
                <c:pt idx="0">
                  <c:v>Chiffre d'affaires (M FCFA)</c:v>
                </c:pt>
              </c:strCache>
            </c:strRef>
          </c:tx>
          <c:spPr>
            <a:solidFill>
              <a:srgbClr val="1f3864"/>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Dashboard!$C$6:$G$6</c:f>
              <c:strCache>
                <c:ptCount val="5"/>
                <c:pt idx="0">
                  <c:v>2027F</c:v>
                </c:pt>
                <c:pt idx="1">
                  <c:v>2028F</c:v>
                </c:pt>
                <c:pt idx="2">
                  <c:v>2029F</c:v>
                </c:pt>
                <c:pt idx="3">
                  <c:v>2030F</c:v>
                </c:pt>
                <c:pt idx="4">
                  <c:v>2031F</c:v>
                </c:pt>
              </c:strCache>
            </c:strRef>
          </c:cat>
          <c:val>
            <c:numRef>
              <c:f>Dashboard!$C$7:$G$7</c:f>
              <c:numCache>
                <c:formatCode>#,##0;\(#,##0\);\-</c:formatCode>
                <c:ptCount val="5"/>
                <c:pt idx="0">
                  <c:v>156.1875</c:v>
                </c:pt>
                <c:pt idx="1">
                  <c:v>608.6745</c:v>
                </c:pt>
                <c:pt idx="2">
                  <c:v>1681.0520895</c:v>
                </c:pt>
                <c:pt idx="3">
                  <c:v>3084.486968997</c:v>
                </c:pt>
                <c:pt idx="4">
                  <c:v>4828.55166288993</c:v>
                </c:pt>
              </c:numCache>
            </c:numRef>
          </c:val>
        </c:ser>
        <c:gapWidth val="150"/>
        <c:overlap val="0"/>
        <c:axId val="70603405"/>
        <c:axId val="20984796"/>
      </c:barChart>
      <c:lineChart>
        <c:grouping val="standard"/>
        <c:varyColors val="0"/>
        <c:ser>
          <c:idx val="1"/>
          <c:order val="1"/>
          <c:tx>
            <c:strRef>
              <c:f>Dashboard!B8</c:f>
              <c:strCache>
                <c:ptCount val="1"/>
                <c:pt idx="0">
                  <c:v>Marge d'EBITDA (%)</c:v>
                </c:pt>
              </c:strCache>
            </c:strRef>
          </c:tx>
          <c:spPr>
            <a:solidFill>
              <a:srgbClr val="ed7d31"/>
            </a:solidFill>
            <a:ln w="20160">
              <a:solidFill>
                <a:srgbClr val="ed7d31"/>
              </a:solidFill>
              <a:round/>
            </a:ln>
          </c:spPr>
          <c:marker>
            <c:symbol val="circle"/>
            <c:size val="6"/>
            <c:spPr>
              <a:solidFill>
                <a:srgbClr val="ed7d31"/>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Dashboard!$C$6:$G$6</c:f>
              <c:strCache>
                <c:ptCount val="5"/>
                <c:pt idx="0">
                  <c:v>2027F</c:v>
                </c:pt>
                <c:pt idx="1">
                  <c:v>2028F</c:v>
                </c:pt>
                <c:pt idx="2">
                  <c:v>2029F</c:v>
                </c:pt>
                <c:pt idx="3">
                  <c:v>2030F</c:v>
                </c:pt>
                <c:pt idx="4">
                  <c:v>2031F</c:v>
                </c:pt>
              </c:strCache>
            </c:strRef>
          </c:cat>
          <c:val>
            <c:numRef>
              <c:f>Dashboard!$C$8:$G$8</c:f>
              <c:numCache>
                <c:formatCode>0.0%</c:formatCode>
                <c:ptCount val="5"/>
                <c:pt idx="0">
                  <c:v>-0.320480192076831</c:v>
                </c:pt>
                <c:pt idx="1">
                  <c:v>0.281157761660789</c:v>
                </c:pt>
                <c:pt idx="2">
                  <c:v>0.501583409596065</c:v>
                </c:pt>
                <c:pt idx="3">
                  <c:v>0.602652019412428</c:v>
                </c:pt>
                <c:pt idx="4">
                  <c:v>0.659000523720331</c:v>
                </c:pt>
              </c:numCache>
            </c:numRef>
          </c:val>
          <c:smooth val="0"/>
        </c:ser>
        <c:hiLowLines>
          <c:spPr>
            <a:ln w="0">
              <a:noFill/>
            </a:ln>
          </c:spPr>
        </c:hiLowLines>
        <c:marker val="1"/>
        <c:axId val="34348821"/>
        <c:axId val="70515276"/>
      </c:lineChart>
      <c:catAx>
        <c:axId val="7060340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984796"/>
        <c:crosses val="autoZero"/>
        <c:auto val="1"/>
        <c:lblAlgn val="ctr"/>
        <c:lblOffset val="100"/>
        <c:noMultiLvlLbl val="0"/>
      </c:catAx>
      <c:valAx>
        <c:axId val="209847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603405"/>
        <c:crosses val="autoZero"/>
        <c:crossBetween val="between"/>
      </c:valAx>
      <c:catAx>
        <c:axId val="34348821"/>
        <c:scaling>
          <c:orientation val="minMax"/>
        </c:scaling>
        <c:delete val="0"/>
        <c:axPos val="t"/>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515276"/>
        <c:crosses val="autoZero"/>
        <c:auto val="1"/>
        <c:lblAlgn val="ctr"/>
        <c:lblOffset val="100"/>
        <c:noMultiLvlLbl val="0"/>
      </c:catAx>
      <c:valAx>
        <c:axId val="70515276"/>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48821"/>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Trésorerie de clôture cumulée, 2027F-2031F (M FCFA)</a:t>
            </a:r>
          </a:p>
        </c:rich>
      </c:tx>
      <c:overlay val="0"/>
      <c:spPr>
        <a:noFill/>
        <a:ln w="0">
          <a:noFill/>
        </a:ln>
      </c:spPr>
    </c:title>
    <c:autoTitleDeleted val="0"/>
    <c:plotArea>
      <c:barChart>
        <c:barDir val="col"/>
        <c:grouping val="clustered"/>
        <c:varyColors val="0"/>
        <c:ser>
          <c:idx val="0"/>
          <c:order val="0"/>
          <c:tx>
            <c:strRef>
              <c:f>Dashboard!B9</c:f>
              <c:strCache>
                <c:ptCount val="1"/>
                <c:pt idx="0">
                  <c:v>Trésorerie de clôture (M FCFA)</c:v>
                </c:pt>
              </c:strCache>
            </c:strRef>
          </c:tx>
          <c:spPr>
            <a:solidFill>
              <a:srgbClr val="2e7d32"/>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Dashboard!$C$6:$G$6</c:f>
              <c:strCache>
                <c:ptCount val="5"/>
                <c:pt idx="0">
                  <c:v>2027F</c:v>
                </c:pt>
                <c:pt idx="1">
                  <c:v>2028F</c:v>
                </c:pt>
                <c:pt idx="2">
                  <c:v>2029F</c:v>
                </c:pt>
                <c:pt idx="3">
                  <c:v>2030F</c:v>
                </c:pt>
                <c:pt idx="4">
                  <c:v>2031F</c:v>
                </c:pt>
              </c:strCache>
            </c:strRef>
          </c:cat>
          <c:val>
            <c:numRef>
              <c:f>Dashboard!$C$9:$G$9</c:f>
              <c:numCache>
                <c:formatCode>#,##0;\(#,##0\);\-</c:formatCode>
                <c:ptCount val="5"/>
                <c:pt idx="0">
                  <c:v>318.833575</c:v>
                </c:pt>
                <c:pt idx="1">
                  <c:v>410.366223770833</c:v>
                </c:pt>
                <c:pt idx="2">
                  <c:v>973.985681857344</c:v>
                </c:pt>
                <c:pt idx="3">
                  <c:v>2292.95153885225</c:v>
                </c:pt>
                <c:pt idx="4">
                  <c:v>4615.81789698432</c:v>
                </c:pt>
              </c:numCache>
            </c:numRef>
          </c:val>
        </c:ser>
        <c:gapWidth val="150"/>
        <c:overlap val="0"/>
        <c:axId val="2887948"/>
        <c:axId val="28430908"/>
      </c:barChart>
      <c:catAx>
        <c:axId val="288794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430908"/>
        <c:crosses val="autoZero"/>
        <c:auto val="1"/>
        <c:lblAlgn val="ctr"/>
        <c:lblOffset val="100"/>
        <c:noMultiLvlLbl val="0"/>
      </c:catAx>
      <c:valAx>
        <c:axId val="2843090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 FCFA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79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160920</xdr:rowOff>
    </xdr:from>
    <xdr:to>
      <xdr:col>4</xdr:col>
      <xdr:colOff>331920</xdr:colOff>
      <xdr:row>42</xdr:row>
      <xdr:rowOff>182520</xdr:rowOff>
    </xdr:to>
    <xdr:graphicFrame>
      <xdr:nvGraphicFramePr>
        <xdr:cNvPr id="0" name="Chart 1"/>
        <xdr:cNvGraphicFramePr/>
      </xdr:nvGraphicFramePr>
      <xdr:xfrm>
        <a:off x="611640" y="5333040"/>
        <a:ext cx="575928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160920</xdr:rowOff>
    </xdr:from>
    <xdr:to>
      <xdr:col>5</xdr:col>
      <xdr:colOff>339480</xdr:colOff>
      <xdr:row>38</xdr:row>
      <xdr:rowOff>161640</xdr:rowOff>
    </xdr:to>
    <xdr:graphicFrame>
      <xdr:nvGraphicFramePr>
        <xdr:cNvPr id="1" name="Chart 1"/>
        <xdr:cNvGraphicFramePr/>
      </xdr:nvGraphicFramePr>
      <xdr:xfrm>
        <a:off x="611640" y="4190040"/>
        <a:ext cx="611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21</xdr:row>
      <xdr:rowOff>160920</xdr:rowOff>
    </xdr:from>
    <xdr:to>
      <xdr:col>19</xdr:col>
      <xdr:colOff>4320</xdr:colOff>
      <xdr:row>38</xdr:row>
      <xdr:rowOff>161640</xdr:rowOff>
    </xdr:to>
    <xdr:graphicFrame>
      <xdr:nvGraphicFramePr>
        <xdr:cNvPr id="2" name="Chart 2"/>
        <xdr:cNvGraphicFramePr/>
      </xdr:nvGraphicFramePr>
      <xdr:xfrm>
        <a:off x="9587880" y="4190040"/>
        <a:ext cx="611928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00"/>
    <col collapsed="false" customWidth="true" hidden="false" outlineLevel="0" max="7" min="3" style="1" width="13"/>
  </cols>
  <sheetData>
    <row r="2" customFormat="false" ht="17.25" hidden="false" customHeight="true" outlineLevel="0" collapsed="false">
      <c r="B2" s="2" t="s">
        <v>0</v>
      </c>
      <c r="C2" s="2"/>
      <c r="D2" s="2"/>
      <c r="E2" s="2"/>
      <c r="F2" s="2"/>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c r="C6" s="6"/>
      <c r="D6" s="6"/>
      <c r="E6" s="6"/>
      <c r="F6" s="6"/>
      <c r="G6" s="6"/>
    </row>
    <row r="7" customFormat="false" ht="49.5" hidden="false" customHeight="true" outlineLevel="0" collapsed="false">
      <c r="B7" s="7" t="s">
        <v>4</v>
      </c>
      <c r="C7" s="7"/>
      <c r="D7" s="7"/>
      <c r="E7" s="7"/>
      <c r="F7" s="7"/>
      <c r="G7" s="7"/>
    </row>
    <row r="12" customFormat="false" ht="15" hidden="false" customHeight="true" outlineLevel="0" collapsed="false">
      <c r="B12" s="5" t="s">
        <v>5</v>
      </c>
      <c r="C12" s="6"/>
      <c r="D12" s="6"/>
      <c r="E12" s="6"/>
      <c r="F12" s="6"/>
      <c r="G12" s="6"/>
    </row>
    <row r="13" customFormat="false" ht="39" hidden="false" customHeight="true" outlineLevel="0" collapsed="false">
      <c r="B13" s="7" t="s">
        <v>6</v>
      </c>
      <c r="C13" s="7"/>
      <c r="D13" s="7"/>
      <c r="E13" s="7"/>
      <c r="F13" s="7"/>
      <c r="G13" s="7"/>
    </row>
    <row r="18" customFormat="false" ht="15" hidden="false" customHeight="true" outlineLevel="0" collapsed="false">
      <c r="B18" s="5" t="s">
        <v>7</v>
      </c>
      <c r="C18" s="6"/>
      <c r="D18" s="6"/>
      <c r="E18" s="6"/>
      <c r="F18" s="6"/>
      <c r="G18" s="6"/>
    </row>
    <row r="19" customFormat="false" ht="15" hidden="false" customHeight="true" outlineLevel="0" collapsed="false">
      <c r="B19" s="8" t="s">
        <v>8</v>
      </c>
      <c r="C19" s="4" t="s">
        <v>9</v>
      </c>
    </row>
    <row r="20" customFormat="false" ht="15" hidden="false" customHeight="true" outlineLevel="0" collapsed="false">
      <c r="B20" s="8" t="s">
        <v>10</v>
      </c>
      <c r="C20" s="4" t="s">
        <v>11</v>
      </c>
    </row>
    <row r="21" customFormat="false" ht="15" hidden="false" customHeight="true" outlineLevel="0" collapsed="false">
      <c r="B21" s="8" t="s">
        <v>12</v>
      </c>
      <c r="C21" s="4" t="s">
        <v>13</v>
      </c>
    </row>
    <row r="22" customFormat="false" ht="15" hidden="false" customHeight="true" outlineLevel="0" collapsed="false">
      <c r="B22" s="8" t="s">
        <v>14</v>
      </c>
      <c r="C22" s="4" t="s">
        <v>15</v>
      </c>
    </row>
    <row r="23" customFormat="false" ht="15" hidden="false" customHeight="true" outlineLevel="0" collapsed="false">
      <c r="B23" s="8" t="s">
        <v>16</v>
      </c>
      <c r="C23" s="4" t="s">
        <v>17</v>
      </c>
    </row>
    <row r="24" customFormat="false" ht="15" hidden="false" customHeight="true" outlineLevel="0" collapsed="false">
      <c r="B24" s="8" t="s">
        <v>18</v>
      </c>
      <c r="C24" s="4" t="s">
        <v>19</v>
      </c>
    </row>
    <row r="25" customFormat="false" ht="15" hidden="false" customHeight="true" outlineLevel="0" collapsed="false">
      <c r="B25" s="8" t="s">
        <v>20</v>
      </c>
      <c r="C25" s="4" t="s">
        <v>21</v>
      </c>
    </row>
    <row r="27" customFormat="false" ht="15" hidden="false" customHeight="true" outlineLevel="0" collapsed="false">
      <c r="B27" s="5" t="s">
        <v>22</v>
      </c>
      <c r="C27" s="6"/>
      <c r="D27" s="6"/>
      <c r="E27" s="6"/>
      <c r="F27" s="6"/>
      <c r="G27" s="6"/>
    </row>
    <row r="28" customFormat="false" ht="15" hidden="false" customHeight="true" outlineLevel="0" collapsed="false">
      <c r="B28" s="4" t="s">
        <v>23</v>
      </c>
    </row>
    <row r="29" customFormat="false" ht="15" hidden="false" customHeight="true" outlineLevel="0" collapsed="false">
      <c r="B29" s="4" t="s">
        <v>24</v>
      </c>
    </row>
    <row r="30" customFormat="false" ht="15" hidden="false" customHeight="true" outlineLevel="0" collapsed="false">
      <c r="B30" s="4" t="s">
        <v>25</v>
      </c>
    </row>
  </sheetData>
  <mergeCells count="3">
    <mergeCell ref="B2:F2"/>
    <mergeCell ref="B7:G7"/>
    <mergeCell ref="B13:G1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62"/>
    <col collapsed="false" customWidth="true" hidden="false" outlineLevel="0" max="3" min="3" style="1" width="15"/>
    <col collapsed="false" customWidth="true" hidden="false" outlineLevel="0" max="7" min="4" style="1" width="14"/>
  </cols>
  <sheetData>
    <row r="2" customFormat="false" ht="17.25" hidden="false" customHeight="true" outlineLevel="0" collapsed="false">
      <c r="B2" s="2" t="s">
        <v>26</v>
      </c>
      <c r="C2" s="2"/>
      <c r="D2" s="2"/>
      <c r="E2" s="2"/>
      <c r="F2" s="2"/>
    </row>
    <row r="3" customFormat="false" ht="15" hidden="false" customHeight="true" outlineLevel="0" collapsed="false">
      <c r="B3" s="4" t="s">
        <v>27</v>
      </c>
    </row>
    <row r="5" customFormat="false" ht="15" hidden="false" customHeight="true" outlineLevel="0" collapsed="false">
      <c r="B5" s="5" t="s">
        <v>28</v>
      </c>
      <c r="C5" s="6"/>
      <c r="D5" s="6"/>
      <c r="E5" s="6"/>
      <c r="F5" s="6"/>
      <c r="G5" s="6"/>
    </row>
    <row r="6" customFormat="false" ht="15" hidden="false" customHeight="true" outlineLevel="0" collapsed="false">
      <c r="B6" s="9" t="s">
        <v>29</v>
      </c>
      <c r="C6" s="10" t="n">
        <v>25000</v>
      </c>
    </row>
    <row r="7" customFormat="false" ht="15" hidden="false" customHeight="true" outlineLevel="0" collapsed="false">
      <c r="B7" s="9" t="s">
        <v>30</v>
      </c>
      <c r="C7" s="11" t="n">
        <v>2.6</v>
      </c>
    </row>
    <row r="8" customFormat="false" ht="15" hidden="false" customHeight="true" outlineLevel="0" collapsed="false">
      <c r="B8" s="9" t="s">
        <v>31</v>
      </c>
      <c r="C8" s="11" t="n">
        <v>1.45</v>
      </c>
    </row>
    <row r="9" customFormat="false" ht="15" hidden="false" customHeight="true" outlineLevel="0" collapsed="false">
      <c r="B9" s="9" t="s">
        <v>32</v>
      </c>
      <c r="C9" s="11" t="n">
        <v>0.7</v>
      </c>
    </row>
    <row r="10" customFormat="false" ht="15" hidden="false" customHeight="true" outlineLevel="0" collapsed="false">
      <c r="B10" s="9" t="s">
        <v>33</v>
      </c>
      <c r="C10" s="11" t="n">
        <v>0.45</v>
      </c>
    </row>
    <row r="12" customFormat="false" ht="15" hidden="false" customHeight="true" outlineLevel="0" collapsed="false">
      <c r="B12" s="5" t="s">
        <v>34</v>
      </c>
      <c r="C12" s="6"/>
      <c r="D12" s="6"/>
      <c r="E12" s="6"/>
      <c r="F12" s="6"/>
      <c r="G12" s="6"/>
    </row>
    <row r="13" customFormat="false" ht="15" hidden="false" customHeight="true" outlineLevel="0" collapsed="false">
      <c r="B13" s="9" t="s">
        <v>35</v>
      </c>
      <c r="C13" s="10" t="n">
        <v>35000</v>
      </c>
    </row>
    <row r="14" customFormat="false" ht="15" hidden="false" customHeight="true" outlineLevel="0" collapsed="false">
      <c r="B14" s="9" t="s">
        <v>36</v>
      </c>
      <c r="C14" s="11" t="n">
        <v>0.08</v>
      </c>
    </row>
    <row r="15" customFormat="false" ht="15" hidden="false" customHeight="true" outlineLevel="0" collapsed="false">
      <c r="B15" s="9" t="s">
        <v>37</v>
      </c>
      <c r="C15" s="12" t="n">
        <v>0.013</v>
      </c>
    </row>
    <row r="17" customFormat="false" ht="15" hidden="false" customHeight="true" outlineLevel="0" collapsed="false">
      <c r="B17" s="5" t="s">
        <v>38</v>
      </c>
      <c r="C17" s="6"/>
      <c r="D17" s="6"/>
      <c r="E17" s="6"/>
      <c r="F17" s="6"/>
      <c r="G17" s="6"/>
    </row>
    <row r="18" customFormat="false" ht="15" hidden="false" customHeight="true" outlineLevel="0" collapsed="false">
      <c r="B18" s="9" t="s">
        <v>39</v>
      </c>
      <c r="C18" s="11" t="n">
        <v>0.35</v>
      </c>
    </row>
    <row r="19" customFormat="false" ht="15" hidden="false" customHeight="true" outlineLevel="0" collapsed="false">
      <c r="B19" s="9" t="s">
        <v>40</v>
      </c>
      <c r="C19" s="10" t="n">
        <v>150000</v>
      </c>
    </row>
    <row r="20" customFormat="false" ht="15" hidden="false" customHeight="true" outlineLevel="0" collapsed="false">
      <c r="B20" s="9" t="s">
        <v>41</v>
      </c>
      <c r="C20" s="11" t="n">
        <v>0.1</v>
      </c>
    </row>
    <row r="21" customFormat="false" ht="15" hidden="false" customHeight="true" outlineLevel="0" collapsed="false">
      <c r="B21" s="9" t="s">
        <v>42</v>
      </c>
      <c r="C21" s="12" t="n">
        <v>0.015</v>
      </c>
    </row>
    <row r="23" customFormat="false" ht="15" hidden="false" customHeight="true" outlineLevel="0" collapsed="false">
      <c r="B23" s="5" t="s">
        <v>43</v>
      </c>
      <c r="C23" s="6"/>
      <c r="D23" s="6"/>
      <c r="E23" s="6"/>
      <c r="F23" s="6"/>
      <c r="G23" s="6"/>
    </row>
    <row r="24" customFormat="false" ht="15" hidden="false" customHeight="true" outlineLevel="0" collapsed="false">
      <c r="B24" s="9" t="s">
        <v>44</v>
      </c>
      <c r="C24" s="11" t="n">
        <v>0.12</v>
      </c>
    </row>
    <row r="25" customFormat="false" ht="15" hidden="false" customHeight="true" outlineLevel="0" collapsed="false">
      <c r="B25" s="9" t="s">
        <v>45</v>
      </c>
      <c r="C25" s="10" t="n">
        <v>80000</v>
      </c>
    </row>
    <row r="26" customFormat="false" ht="15" hidden="false" customHeight="true" outlineLevel="0" collapsed="false">
      <c r="B26" s="9" t="s">
        <v>46</v>
      </c>
      <c r="C26" s="11" t="n">
        <v>0.09</v>
      </c>
    </row>
    <row r="28" customFormat="false" ht="15" hidden="false" customHeight="true" outlineLevel="0" collapsed="false">
      <c r="B28" s="5" t="s">
        <v>47</v>
      </c>
      <c r="C28" s="6"/>
      <c r="D28" s="6"/>
      <c r="E28" s="6"/>
      <c r="F28" s="6"/>
      <c r="G28" s="6"/>
    </row>
    <row r="29" customFormat="false" ht="15" hidden="false" customHeight="true" outlineLevel="0" collapsed="false">
      <c r="B29" s="9" t="s">
        <v>48</v>
      </c>
      <c r="C29" s="10" t="n">
        <v>2500</v>
      </c>
    </row>
    <row r="30" customFormat="false" ht="15" hidden="false" customHeight="true" outlineLevel="0" collapsed="false">
      <c r="B30" s="9" t="s">
        <v>49</v>
      </c>
      <c r="C30" s="11" t="n">
        <v>0.08</v>
      </c>
    </row>
    <row r="31" customFormat="false" ht="15" hidden="false" customHeight="true" outlineLevel="0" collapsed="false">
      <c r="B31" s="9" t="s">
        <v>50</v>
      </c>
      <c r="C31" s="11" t="n">
        <v>0.12</v>
      </c>
    </row>
    <row r="32" customFormat="false" ht="15" hidden="false" customHeight="true" outlineLevel="0" collapsed="false">
      <c r="B32" s="9" t="s">
        <v>51</v>
      </c>
      <c r="C32" s="11" t="n">
        <v>0.25</v>
      </c>
    </row>
    <row r="34" customFormat="false" ht="15" hidden="false" customHeight="true" outlineLevel="0" collapsed="false">
      <c r="B34" s="8" t="s">
        <v>52</v>
      </c>
      <c r="C34" s="13" t="s">
        <v>53</v>
      </c>
      <c r="D34" s="13" t="s">
        <v>54</v>
      </c>
      <c r="E34" s="13" t="s">
        <v>55</v>
      </c>
      <c r="F34" s="13" t="s">
        <v>56</v>
      </c>
      <c r="G34" s="13" t="s">
        <v>57</v>
      </c>
    </row>
    <row r="35" customFormat="false" ht="15" hidden="false" customHeight="true" outlineLevel="0" collapsed="false">
      <c r="B35" s="9" t="s">
        <v>58</v>
      </c>
      <c r="C35" s="10" t="n">
        <v>60</v>
      </c>
      <c r="D35" s="10" t="n">
        <v>140</v>
      </c>
      <c r="E35" s="10" t="n">
        <v>260</v>
      </c>
      <c r="F35" s="10" t="n">
        <v>420</v>
      </c>
      <c r="G35" s="10" t="n">
        <v>600</v>
      </c>
    </row>
    <row r="36" customFormat="false" ht="15" hidden="false" customHeight="true" outlineLevel="0" collapsed="false">
      <c r="B36" s="9" t="s">
        <v>59</v>
      </c>
      <c r="C36" s="10" t="n">
        <v>25</v>
      </c>
      <c r="D36" s="10" t="n">
        <v>45</v>
      </c>
      <c r="E36" s="10" t="n">
        <v>70</v>
      </c>
      <c r="F36" s="10" t="n">
        <v>100</v>
      </c>
      <c r="G36" s="10" t="n">
        <v>130</v>
      </c>
    </row>
    <row r="37" customFormat="false" ht="15" hidden="false" customHeight="true" outlineLevel="0" collapsed="false">
      <c r="B37" s="9" t="s">
        <v>60</v>
      </c>
      <c r="C37" s="10" t="n">
        <v>40</v>
      </c>
      <c r="D37" s="10" t="n">
        <v>30</v>
      </c>
      <c r="E37" s="10" t="n">
        <v>30</v>
      </c>
      <c r="F37" s="10" t="n">
        <v>35</v>
      </c>
      <c r="G37" s="10" t="n">
        <v>35</v>
      </c>
    </row>
    <row r="38" customFormat="false" ht="15" hidden="false" customHeight="true" outlineLevel="0" collapsed="false">
      <c r="B38" s="9" t="s">
        <v>61</v>
      </c>
      <c r="C38" s="10" t="n">
        <v>20</v>
      </c>
      <c r="D38" s="10" t="n">
        <v>35</v>
      </c>
      <c r="E38" s="10" t="n">
        <v>55</v>
      </c>
      <c r="F38" s="10" t="n">
        <v>70</v>
      </c>
      <c r="G38" s="10" t="n">
        <v>85</v>
      </c>
    </row>
    <row r="39" customFormat="false" ht="15" hidden="false" customHeight="true" outlineLevel="0" collapsed="false">
      <c r="B39" s="9" t="s">
        <v>62</v>
      </c>
      <c r="C39" s="10" t="n">
        <v>3</v>
      </c>
    </row>
    <row r="40" customFormat="false" ht="15" hidden="false" customHeight="true" outlineLevel="0" collapsed="false">
      <c r="B40" s="9" t="s">
        <v>63</v>
      </c>
      <c r="C40" s="11" t="n">
        <v>0.03</v>
      </c>
    </row>
    <row r="41" customFormat="false" ht="15" hidden="false" customHeight="true" outlineLevel="0" collapsed="false">
      <c r="B41" s="9" t="s">
        <v>64</v>
      </c>
      <c r="C41" s="11" t="n">
        <v>0.03</v>
      </c>
    </row>
    <row r="43" customFormat="false" ht="15" hidden="false" customHeight="true" outlineLevel="0" collapsed="false">
      <c r="B43" s="5" t="s">
        <v>65</v>
      </c>
      <c r="C43" s="6"/>
      <c r="D43" s="6"/>
      <c r="E43" s="6"/>
      <c r="F43" s="6"/>
      <c r="G43" s="6"/>
    </row>
    <row r="44" customFormat="false" ht="15" hidden="false" customHeight="true" outlineLevel="0" collapsed="false">
      <c r="B44" s="9" t="s">
        <v>66</v>
      </c>
      <c r="C44" s="10" t="n">
        <v>50000</v>
      </c>
    </row>
    <row r="45" customFormat="false" ht="15" hidden="false" customHeight="true" outlineLevel="0" collapsed="false">
      <c r="B45" s="9" t="s">
        <v>67</v>
      </c>
      <c r="C45" s="10" t="n">
        <v>550000</v>
      </c>
    </row>
    <row r="46" customFormat="false" ht="15" hidden="false" customHeight="true" outlineLevel="0" collapsed="false">
      <c r="B46" s="9" t="s">
        <v>68</v>
      </c>
      <c r="C46" s="10" t="n">
        <v>2450000</v>
      </c>
    </row>
    <row r="47" customFormat="false" ht="15" hidden="false" customHeight="true" outlineLevel="0" collapsed="false">
      <c r="B47" s="9" t="s">
        <v>69</v>
      </c>
      <c r="C47" s="14" t="n">
        <v>655.957</v>
      </c>
    </row>
    <row r="48" customFormat="false" ht="15" hidden="false" customHeight="true" outlineLevel="0" collapsed="false">
      <c r="B48" s="9" t="s">
        <v>70</v>
      </c>
      <c r="C48" s="11" t="n">
        <v>0.1</v>
      </c>
    </row>
    <row r="50" customFormat="false" ht="15" hidden="false" customHeight="true" outlineLevel="0" collapsed="false">
      <c r="B50" s="5" t="s">
        <v>71</v>
      </c>
      <c r="C50" s="6"/>
      <c r="D50" s="6"/>
      <c r="E50" s="6"/>
      <c r="F50" s="6"/>
      <c r="G50" s="6"/>
    </row>
    <row r="51" customFormat="false" ht="15" hidden="false" customHeight="true" outlineLevel="0" collapsed="false">
      <c r="B51" s="9" t="s">
        <v>72</v>
      </c>
      <c r="C51" s="11" t="n">
        <v>0.35</v>
      </c>
    </row>
    <row r="52" customFormat="false" ht="15" hidden="false" customHeight="true" outlineLevel="0" collapsed="false">
      <c r="B52" s="9" t="s">
        <v>73</v>
      </c>
      <c r="C52" s="11" t="n">
        <v>0.3</v>
      </c>
    </row>
    <row r="53" customFormat="false" ht="15" hidden="false" customHeight="true" outlineLevel="0" collapsed="false">
      <c r="B53" s="9" t="s">
        <v>74</v>
      </c>
      <c r="C53" s="11" t="n">
        <v>0.25</v>
      </c>
    </row>
    <row r="54" customFormat="false" ht="15" hidden="false" customHeight="true" outlineLevel="0" collapsed="false">
      <c r="B54" s="9" t="s">
        <v>75</v>
      </c>
      <c r="C54" s="11" t="n">
        <v>0.1</v>
      </c>
    </row>
    <row r="55" customFormat="false" ht="15" hidden="false" customHeight="true" outlineLevel="0" collapsed="false">
      <c r="B55" s="8" t="s">
        <v>76</v>
      </c>
      <c r="C55" s="15" t="n">
        <f aca="false">SUM(C51:C54)</f>
        <v>1</v>
      </c>
    </row>
    <row r="57" customFormat="false" ht="15" hidden="false" customHeight="true" outlineLevel="0" collapsed="false">
      <c r="B57" s="8" t="s">
        <v>77</v>
      </c>
      <c r="C57" s="13" t="s">
        <v>53</v>
      </c>
      <c r="D57" s="13" t="s">
        <v>54</v>
      </c>
      <c r="E57" s="13" t="s">
        <v>55</v>
      </c>
      <c r="F57" s="13" t="s">
        <v>56</v>
      </c>
      <c r="G57" s="13" t="s">
        <v>57</v>
      </c>
    </row>
    <row r="58" customFormat="false" ht="15" hidden="false" customHeight="true" outlineLevel="0" collapsed="false">
      <c r="C58" s="16" t="n">
        <f aca="false">C29</f>
        <v>2500</v>
      </c>
      <c r="D58" s="16" t="n">
        <f aca="false">C58*(1-$C$30)</f>
        <v>2300</v>
      </c>
      <c r="E58" s="16" t="n">
        <f aca="false">D58*(1-$C$30)</f>
        <v>2116</v>
      </c>
      <c r="F58" s="16" t="n">
        <f aca="false">E58*(1-$C$30)</f>
        <v>1946.72</v>
      </c>
      <c r="G58" s="16" t="n">
        <f aca="false">F58*(1-$C$30)</f>
        <v>1790.9824</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5"/>
    <col collapsed="false" customWidth="true" hidden="false" outlineLevel="0" max="7" min="3" style="1" width="14"/>
  </cols>
  <sheetData>
    <row r="2" customFormat="false" ht="17.25" hidden="false" customHeight="true" outlineLevel="0" collapsed="false">
      <c r="B2" s="2" t="s">
        <v>78</v>
      </c>
      <c r="C2" s="2"/>
      <c r="D2" s="2"/>
      <c r="E2" s="2"/>
      <c r="F2" s="2"/>
    </row>
    <row r="3" customFormat="false" ht="15" hidden="false" customHeight="true" outlineLevel="0" collapsed="false">
      <c r="B3" s="4" t="s">
        <v>79</v>
      </c>
    </row>
    <row r="5" customFormat="false" ht="15" hidden="false" customHeight="true" outlineLevel="0" collapsed="false">
      <c r="C5" s="13" t="s">
        <v>53</v>
      </c>
      <c r="D5" s="13" t="s">
        <v>54</v>
      </c>
      <c r="E5" s="13" t="s">
        <v>55</v>
      </c>
      <c r="F5" s="13" t="s">
        <v>56</v>
      </c>
      <c r="G5" s="13" t="s">
        <v>57</v>
      </c>
    </row>
    <row r="6" customFormat="false" ht="15" hidden="false" customHeight="true" outlineLevel="0" collapsed="false">
      <c r="B6" s="8" t="s">
        <v>80</v>
      </c>
      <c r="C6" s="16" t="n">
        <f aca="false">Assumptions!$C$6</f>
        <v>25000</v>
      </c>
      <c r="D6" s="16" t="n">
        <f aca="false">C6*(1+Assumptions!$C$7)</f>
        <v>90000</v>
      </c>
      <c r="E6" s="16" t="n">
        <f aca="false">D6*(1+Assumptions!$C$8)</f>
        <v>220500</v>
      </c>
      <c r="F6" s="16" t="n">
        <f aca="false">E6*(1+Assumptions!$C$9)</f>
        <v>374850</v>
      </c>
      <c r="G6" s="16" t="n">
        <f aca="false">F6*(1+Assumptions!$C$10)</f>
        <v>543532.5</v>
      </c>
    </row>
    <row r="7" customFormat="false" ht="15" hidden="false" customHeight="true" outlineLevel="0" collapsed="false">
      <c r="B7" s="9" t="s">
        <v>81</v>
      </c>
      <c r="C7" s="16" t="n">
        <f aca="false">C6</f>
        <v>25000</v>
      </c>
      <c r="D7" s="16" t="n">
        <f aca="false">D6-C6</f>
        <v>65000</v>
      </c>
      <c r="E7" s="16" t="n">
        <f aca="false">E6-D6</f>
        <v>130500</v>
      </c>
      <c r="F7" s="16" t="n">
        <f aca="false">F6-E6</f>
        <v>154350</v>
      </c>
      <c r="G7" s="16" t="n">
        <f aca="false">G6-F6</f>
        <v>168682.5</v>
      </c>
    </row>
    <row r="9" customFormat="false" ht="15" hidden="false" customHeight="true" outlineLevel="0" collapsed="false">
      <c r="B9" s="5" t="s">
        <v>34</v>
      </c>
      <c r="C9" s="6"/>
      <c r="D9" s="6"/>
      <c r="E9" s="6"/>
      <c r="F9" s="6"/>
      <c r="G9" s="6"/>
    </row>
    <row r="10" customFormat="false" ht="15" hidden="false" customHeight="true" outlineLevel="0" collapsed="false">
      <c r="B10" s="9" t="s">
        <v>82</v>
      </c>
      <c r="C10" s="16" t="n">
        <f aca="false">Assumptions!$C$13</f>
        <v>35000</v>
      </c>
      <c r="D10" s="16" t="n">
        <f aca="false">C10*(1+Assumptions!$C$14)</f>
        <v>37800</v>
      </c>
      <c r="E10" s="16" t="n">
        <f aca="false">D10*(1+Assumptions!$C$14)</f>
        <v>40824</v>
      </c>
      <c r="F10" s="16" t="n">
        <f aca="false">E10*(1+Assumptions!$C$14)</f>
        <v>44089.92</v>
      </c>
      <c r="G10" s="16" t="n">
        <f aca="false">F10*(1+Assumptions!$C$14)</f>
        <v>47617.1136</v>
      </c>
    </row>
    <row r="11" customFormat="false" ht="15" hidden="false" customHeight="true" outlineLevel="0" collapsed="false">
      <c r="B11" s="9" t="s">
        <v>83</v>
      </c>
      <c r="C11" s="16" t="n">
        <f aca="false">C6*C10*12/1000000</f>
        <v>10500</v>
      </c>
      <c r="D11" s="16" t="n">
        <f aca="false">D6*D10*12/1000000</f>
        <v>40824</v>
      </c>
      <c r="E11" s="16" t="n">
        <f aca="false">E6*E10*12/1000000</f>
        <v>108020.304</v>
      </c>
      <c r="F11" s="16" t="n">
        <f aca="false">F6*F10*12/1000000</f>
        <v>198325.278144</v>
      </c>
      <c r="G11" s="16" t="n">
        <f aca="false">G6*G10*12/1000000</f>
        <v>310577.385573504</v>
      </c>
    </row>
    <row r="12" customFormat="false" ht="15" hidden="false" customHeight="true" outlineLevel="0" collapsed="false">
      <c r="B12" s="8" t="s">
        <v>84</v>
      </c>
      <c r="C12" s="17" t="n">
        <f aca="false">C11*Assumptions!$C$15</f>
        <v>136.5</v>
      </c>
      <c r="D12" s="17" t="n">
        <f aca="false">D11*Assumptions!$C$15</f>
        <v>530.712</v>
      </c>
      <c r="E12" s="17" t="n">
        <f aca="false">E11*Assumptions!$C$15</f>
        <v>1404.263952</v>
      </c>
      <c r="F12" s="17" t="n">
        <f aca="false">F11*Assumptions!$C$15</f>
        <v>2578.228615872</v>
      </c>
      <c r="G12" s="17" t="n">
        <f aca="false">G11*Assumptions!$C$15</f>
        <v>4037.50601245555</v>
      </c>
    </row>
    <row r="14" customFormat="false" ht="15" hidden="false" customHeight="true" outlineLevel="0" collapsed="false">
      <c r="B14" s="5" t="s">
        <v>85</v>
      </c>
      <c r="C14" s="6"/>
      <c r="D14" s="6"/>
      <c r="E14" s="6"/>
      <c r="F14" s="6"/>
      <c r="G14" s="6"/>
    </row>
    <row r="15" customFormat="false" ht="15" hidden="false" customHeight="true" outlineLevel="0" collapsed="false">
      <c r="B15" s="9" t="s">
        <v>86</v>
      </c>
      <c r="C15" s="18" t="n">
        <f aca="false">Assumptions!$C$18</f>
        <v>0.35</v>
      </c>
      <c r="D15" s="18" t="n">
        <f aca="false">Assumptions!$C$18</f>
        <v>0.35</v>
      </c>
      <c r="E15" s="18" t="n">
        <f aca="false">Assumptions!$C$18</f>
        <v>0.35</v>
      </c>
      <c r="F15" s="18" t="n">
        <f aca="false">Assumptions!$C$18</f>
        <v>0.35</v>
      </c>
      <c r="G15" s="18" t="n">
        <f aca="false">Assumptions!$C$18</f>
        <v>0.35</v>
      </c>
    </row>
    <row r="16" customFormat="false" ht="15" hidden="false" customHeight="true" outlineLevel="0" collapsed="false">
      <c r="B16" s="9" t="s">
        <v>87</v>
      </c>
      <c r="C16" s="16" t="n">
        <f aca="false">C6*C15</f>
        <v>8750</v>
      </c>
      <c r="D16" s="16" t="n">
        <f aca="false">D6*D15</f>
        <v>31500</v>
      </c>
      <c r="E16" s="16" t="n">
        <f aca="false">E6*E15</f>
        <v>77175</v>
      </c>
      <c r="F16" s="16" t="n">
        <f aca="false">F6*F15</f>
        <v>131197.5</v>
      </c>
      <c r="G16" s="16" t="n">
        <f aca="false">G6*G15</f>
        <v>190236.375</v>
      </c>
    </row>
    <row r="17" customFormat="false" ht="15" hidden="false" customHeight="true" outlineLevel="0" collapsed="false">
      <c r="B17" s="9" t="s">
        <v>88</v>
      </c>
      <c r="C17" s="16" t="n">
        <f aca="false">Assumptions!$C$19</f>
        <v>150000</v>
      </c>
      <c r="D17" s="16" t="n">
        <f aca="false">C17*(1+Assumptions!$C$20)</f>
        <v>165000</v>
      </c>
      <c r="E17" s="16" t="n">
        <f aca="false">D17*(1+Assumptions!$C$20)</f>
        <v>181500</v>
      </c>
      <c r="F17" s="16" t="n">
        <f aca="false">E17*(1+Assumptions!$C$20)</f>
        <v>199650</v>
      </c>
      <c r="G17" s="16" t="n">
        <f aca="false">F17*(1+Assumptions!$C$20)</f>
        <v>219615</v>
      </c>
    </row>
    <row r="18" customFormat="false" ht="15" hidden="false" customHeight="true" outlineLevel="0" collapsed="false">
      <c r="B18" s="9" t="s">
        <v>89</v>
      </c>
      <c r="C18" s="16" t="n">
        <f aca="false">C16*C17/1000000</f>
        <v>1312.5</v>
      </c>
      <c r="D18" s="16" t="n">
        <f aca="false">D16*D17/1000000</f>
        <v>5197.5</v>
      </c>
      <c r="E18" s="16" t="n">
        <f aca="false">E16*E17/1000000</f>
        <v>14007.2625</v>
      </c>
      <c r="F18" s="16" t="n">
        <f aca="false">F16*F17/1000000</f>
        <v>26193.580875</v>
      </c>
      <c r="G18" s="16" t="n">
        <f aca="false">G16*G17/1000000</f>
        <v>41778.761495625</v>
      </c>
    </row>
    <row r="19" customFormat="false" ht="15" hidden="false" customHeight="true" outlineLevel="0" collapsed="false">
      <c r="B19" s="8" t="s">
        <v>90</v>
      </c>
      <c r="C19" s="17" t="n">
        <f aca="false">C18*Assumptions!$C$21</f>
        <v>19.6875</v>
      </c>
      <c r="D19" s="17" t="n">
        <f aca="false">D18*Assumptions!$C$21</f>
        <v>77.9625</v>
      </c>
      <c r="E19" s="17" t="n">
        <f aca="false">E18*Assumptions!$C$21</f>
        <v>210.1089375</v>
      </c>
      <c r="F19" s="17" t="n">
        <f aca="false">F18*Assumptions!$C$21</f>
        <v>392.903713125</v>
      </c>
      <c r="G19" s="17" t="n">
        <f aca="false">G18*Assumptions!$C$21</f>
        <v>626.681422434375</v>
      </c>
    </row>
    <row r="21" customFormat="false" ht="15" hidden="false" customHeight="true" outlineLevel="0" collapsed="false">
      <c r="B21" s="5" t="s">
        <v>91</v>
      </c>
      <c r="C21" s="6"/>
      <c r="D21" s="6"/>
      <c r="E21" s="6"/>
      <c r="F21" s="6"/>
      <c r="G21" s="6"/>
    </row>
    <row r="22" customFormat="false" ht="15" hidden="false" customHeight="true" outlineLevel="0" collapsed="false">
      <c r="B22" s="9" t="s">
        <v>92</v>
      </c>
      <c r="C22" s="18" t="n">
        <v>0</v>
      </c>
      <c r="D22" s="18" t="n">
        <v>0</v>
      </c>
      <c r="E22" s="18" t="n">
        <f aca="false">Assumptions!$C$24</f>
        <v>0.12</v>
      </c>
      <c r="F22" s="18" t="n">
        <f aca="false">Assumptions!$C$24</f>
        <v>0.12</v>
      </c>
      <c r="G22" s="18" t="n">
        <f aca="false">Assumptions!$C$24</f>
        <v>0.12</v>
      </c>
    </row>
    <row r="23" customFormat="false" ht="15" hidden="false" customHeight="true" outlineLevel="0" collapsed="false">
      <c r="B23" s="9" t="s">
        <v>93</v>
      </c>
      <c r="C23" s="16" t="n">
        <f aca="false">C16*C22</f>
        <v>0</v>
      </c>
      <c r="D23" s="16" t="n">
        <f aca="false">D16*D22</f>
        <v>0</v>
      </c>
      <c r="E23" s="16" t="n">
        <f aca="false">E16*E22</f>
        <v>9261</v>
      </c>
      <c r="F23" s="16" t="n">
        <f aca="false">F16*F22</f>
        <v>15743.7</v>
      </c>
      <c r="G23" s="16" t="n">
        <f aca="false">G16*G22</f>
        <v>22828.365</v>
      </c>
    </row>
    <row r="24" customFormat="false" ht="15" hidden="false" customHeight="true" outlineLevel="0" collapsed="false">
      <c r="B24" s="9" t="s">
        <v>94</v>
      </c>
      <c r="C24" s="16" t="n">
        <f aca="false">Assumptions!$C$25</f>
        <v>80000</v>
      </c>
      <c r="D24" s="16" t="n">
        <f aca="false">Assumptions!$C$25</f>
        <v>80000</v>
      </c>
      <c r="E24" s="16" t="n">
        <f aca="false">Assumptions!$C$25</f>
        <v>80000</v>
      </c>
      <c r="F24" s="16" t="n">
        <f aca="false">Assumptions!$C$25</f>
        <v>80000</v>
      </c>
      <c r="G24" s="16" t="n">
        <f aca="false">Assumptions!$C$25</f>
        <v>80000</v>
      </c>
    </row>
    <row r="25" customFormat="false" ht="15" hidden="false" customHeight="true" outlineLevel="0" collapsed="false">
      <c r="B25" s="9" t="s">
        <v>95</v>
      </c>
      <c r="C25" s="16" t="n">
        <f aca="false">C23*C24/1000000</f>
        <v>0</v>
      </c>
      <c r="D25" s="16" t="n">
        <f aca="false">D23*D24/1000000</f>
        <v>0</v>
      </c>
      <c r="E25" s="16" t="n">
        <f aca="false">E23*E24/1000000</f>
        <v>740.88</v>
      </c>
      <c r="F25" s="16" t="n">
        <f aca="false">F23*F24/1000000</f>
        <v>1259.496</v>
      </c>
      <c r="G25" s="16" t="n">
        <f aca="false">G23*G24/1000000</f>
        <v>1826.2692</v>
      </c>
    </row>
    <row r="26" customFormat="false" ht="15" hidden="false" customHeight="true" outlineLevel="0" collapsed="false">
      <c r="B26" s="8" t="s">
        <v>96</v>
      </c>
      <c r="C26" s="17" t="n">
        <f aca="false">C25*Assumptions!$C$26</f>
        <v>0</v>
      </c>
      <c r="D26" s="17" t="n">
        <f aca="false">D25*Assumptions!$C$26</f>
        <v>0</v>
      </c>
      <c r="E26" s="17" t="n">
        <f aca="false">E25*Assumptions!$C$26</f>
        <v>66.6792</v>
      </c>
      <c r="F26" s="17" t="n">
        <f aca="false">F25*Assumptions!$C$26</f>
        <v>113.35464</v>
      </c>
      <c r="G26" s="17" t="n">
        <f aca="false">G25*Assumptions!$C$26</f>
        <v>164.364228</v>
      </c>
    </row>
    <row r="28" customFormat="false" ht="15" hidden="false" customHeight="true" outlineLevel="0" collapsed="false">
      <c r="B28" s="5" t="s">
        <v>97</v>
      </c>
      <c r="C28" s="6"/>
      <c r="D28" s="6"/>
      <c r="E28" s="6"/>
      <c r="F28" s="6"/>
      <c r="G28" s="6"/>
    </row>
    <row r="29" customFormat="false" ht="15" hidden="false" customHeight="true" outlineLevel="0" collapsed="false">
      <c r="B29" s="8" t="s">
        <v>98</v>
      </c>
      <c r="C29" s="17" t="n">
        <f aca="false">C12+C19+C26</f>
        <v>156.1875</v>
      </c>
      <c r="D29" s="17" t="n">
        <f aca="false">D12+D19+D26</f>
        <v>608.6745</v>
      </c>
      <c r="E29" s="17" t="n">
        <f aca="false">E12+E19+E26</f>
        <v>1681.0520895</v>
      </c>
      <c r="F29" s="17" t="n">
        <f aca="false">F12+F19+F26</f>
        <v>3084.486968997</v>
      </c>
      <c r="G29" s="17" t="n">
        <f aca="false">G12+G19+G26</f>
        <v>4828.55166288993</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0"/>
    <col collapsed="false" customWidth="true" hidden="false" outlineLevel="0" max="7" min="3" style="1" width="14"/>
  </cols>
  <sheetData>
    <row r="2" customFormat="false" ht="17.25" hidden="false" customHeight="true" outlineLevel="0" collapsed="false">
      <c r="B2" s="2" t="s">
        <v>99</v>
      </c>
      <c r="C2" s="2"/>
      <c r="D2" s="2"/>
      <c r="E2" s="2"/>
      <c r="F2" s="2"/>
    </row>
    <row r="3" customFormat="false" ht="15" hidden="false" customHeight="true" outlineLevel="0" collapsed="false">
      <c r="B3" s="4" t="s">
        <v>100</v>
      </c>
    </row>
    <row r="5" customFormat="false" ht="15" hidden="false" customHeight="true" outlineLevel="0" collapsed="false">
      <c r="C5" s="13" t="s">
        <v>53</v>
      </c>
      <c r="D5" s="13" t="s">
        <v>54</v>
      </c>
      <c r="E5" s="13" t="s">
        <v>55</v>
      </c>
      <c r="F5" s="13" t="s">
        <v>56</v>
      </c>
      <c r="G5" s="13" t="s">
        <v>57</v>
      </c>
    </row>
    <row r="6" customFormat="false" ht="15" hidden="false" customHeight="true" outlineLevel="0" collapsed="false">
      <c r="B6" s="8" t="s">
        <v>101</v>
      </c>
      <c r="C6" s="19" t="n">
        <f aca="false">'Revenue Build'!C29</f>
        <v>156.1875</v>
      </c>
      <c r="D6" s="19" t="n">
        <f aca="false">'Revenue Build'!D29</f>
        <v>608.6745</v>
      </c>
      <c r="E6" s="19" t="n">
        <f aca="false">'Revenue Build'!E29</f>
        <v>1681.0520895</v>
      </c>
      <c r="F6" s="19" t="n">
        <f aca="false">'Revenue Build'!F29</f>
        <v>3084.486968997</v>
      </c>
      <c r="G6" s="19" t="n">
        <f aca="false">'Revenue Build'!G29</f>
        <v>4828.55166288993</v>
      </c>
    </row>
    <row r="8" customFormat="false" ht="15" hidden="false" customHeight="true" outlineLevel="0" collapsed="false">
      <c r="B8" s="5" t="s">
        <v>102</v>
      </c>
      <c r="C8" s="6"/>
      <c r="D8" s="6"/>
      <c r="E8" s="6"/>
      <c r="F8" s="6"/>
      <c r="G8" s="6"/>
    </row>
    <row r="9" customFormat="false" ht="15" hidden="false" customHeight="true" outlineLevel="0" collapsed="false">
      <c r="B9" s="9" t="s">
        <v>103</v>
      </c>
      <c r="C9" s="16" t="n">
        <f aca="false">-'Revenue Build'!C7*Assumptions!C58/1000000</f>
        <v>-62.5</v>
      </c>
      <c r="D9" s="16" t="n">
        <f aca="false">-'Revenue Build'!D7*Assumptions!D58/1000000</f>
        <v>-149.5</v>
      </c>
      <c r="E9" s="16" t="n">
        <f aca="false">-'Revenue Build'!E7*Assumptions!E58/1000000</f>
        <v>-276.138</v>
      </c>
      <c r="F9" s="16" t="n">
        <f aca="false">-'Revenue Build'!F7*Assumptions!F58/1000000</f>
        <v>-300.476232</v>
      </c>
      <c r="G9" s="16" t="n">
        <f aca="false">-'Revenue Build'!G7*Assumptions!G58/1000000</f>
        <v>-302.107388688</v>
      </c>
    </row>
    <row r="10" customFormat="false" ht="15" hidden="false" customHeight="true" outlineLevel="0" collapsed="false">
      <c r="B10" s="9" t="s">
        <v>104</v>
      </c>
      <c r="C10" s="16" t="n">
        <f aca="false">-C6*Assumptions!$C$31</f>
        <v>-18.7425</v>
      </c>
      <c r="D10" s="16" t="n">
        <f aca="false">-D6*Assumptions!$C$31</f>
        <v>-73.04094</v>
      </c>
      <c r="E10" s="16" t="n">
        <f aca="false">-E6*Assumptions!$C$31</f>
        <v>-201.72625074</v>
      </c>
      <c r="F10" s="16" t="n">
        <f aca="false">-F6*Assumptions!$C$31</f>
        <v>-370.13843627964</v>
      </c>
      <c r="G10" s="16" t="n">
        <f aca="false">-G6*Assumptions!$C$31</f>
        <v>-579.426199546792</v>
      </c>
    </row>
    <row r="11" customFormat="false" ht="15" hidden="false" customHeight="true" outlineLevel="0" collapsed="false">
      <c r="B11" s="9" t="s">
        <v>105</v>
      </c>
      <c r="C11" s="16" t="n">
        <f aca="false">-Assumptions!C35</f>
        <v>-60</v>
      </c>
      <c r="D11" s="16" t="n">
        <f aca="false">-Assumptions!D35</f>
        <v>-140</v>
      </c>
      <c r="E11" s="16" t="n">
        <f aca="false">-Assumptions!E35</f>
        <v>-260</v>
      </c>
      <c r="F11" s="16" t="n">
        <f aca="false">-Assumptions!F35</f>
        <v>-420</v>
      </c>
      <c r="G11" s="16" t="n">
        <f aca="false">-Assumptions!G35</f>
        <v>-600</v>
      </c>
    </row>
    <row r="12" customFormat="false" ht="15" hidden="false" customHeight="true" outlineLevel="0" collapsed="false">
      <c r="B12" s="9" t="s">
        <v>106</v>
      </c>
      <c r="C12" s="16" t="n">
        <f aca="false">-Assumptions!C36</f>
        <v>-25</v>
      </c>
      <c r="D12" s="16" t="n">
        <f aca="false">-Assumptions!D36</f>
        <v>-45</v>
      </c>
      <c r="E12" s="16" t="n">
        <f aca="false">-Assumptions!E36</f>
        <v>-70</v>
      </c>
      <c r="F12" s="16" t="n">
        <f aca="false">-Assumptions!F36</f>
        <v>-100</v>
      </c>
      <c r="G12" s="16" t="n">
        <f aca="false">-Assumptions!G36</f>
        <v>-130</v>
      </c>
    </row>
    <row r="13" customFormat="false" ht="15" hidden="false" customHeight="true" outlineLevel="0" collapsed="false">
      <c r="B13" s="9" t="s">
        <v>107</v>
      </c>
      <c r="C13" s="16" t="n">
        <f aca="false">-Assumptions!C37</f>
        <v>-40</v>
      </c>
      <c r="D13" s="16" t="n">
        <f aca="false">-Assumptions!D37</f>
        <v>-30</v>
      </c>
      <c r="E13" s="16" t="n">
        <f aca="false">-Assumptions!E37</f>
        <v>-30</v>
      </c>
      <c r="F13" s="16" t="n">
        <f aca="false">-Assumptions!F37</f>
        <v>-35</v>
      </c>
      <c r="G13" s="16" t="n">
        <f aca="false">-Assumptions!G37</f>
        <v>-35</v>
      </c>
    </row>
    <row r="14" customFormat="false" ht="15" hidden="false" customHeight="true" outlineLevel="0" collapsed="false">
      <c r="B14" s="8" t="s">
        <v>108</v>
      </c>
      <c r="C14" s="17" t="n">
        <f aca="false">SUM(C9:C13)</f>
        <v>-206.2425</v>
      </c>
      <c r="D14" s="17" t="n">
        <f aca="false">SUM(D9:D13)</f>
        <v>-437.54094</v>
      </c>
      <c r="E14" s="17" t="n">
        <f aca="false">SUM(E9:E13)</f>
        <v>-837.86425074</v>
      </c>
      <c r="F14" s="17" t="n">
        <f aca="false">SUM(F9:F13)</f>
        <v>-1225.61466827964</v>
      </c>
      <c r="G14" s="17" t="n">
        <f aca="false">SUM(G9:G13)</f>
        <v>-1646.53358823479</v>
      </c>
    </row>
    <row r="16" customFormat="false" ht="15" hidden="false" customHeight="true" outlineLevel="0" collapsed="false">
      <c r="B16" s="8" t="s">
        <v>109</v>
      </c>
      <c r="C16" s="17" t="n">
        <f aca="false">C6+C14</f>
        <v>-50.055</v>
      </c>
      <c r="D16" s="17" t="n">
        <f aca="false">D6+D14</f>
        <v>171.13356</v>
      </c>
      <c r="E16" s="17" t="n">
        <f aca="false">E6+E14</f>
        <v>843.18783876</v>
      </c>
      <c r="F16" s="17" t="n">
        <f aca="false">F6+F14</f>
        <v>1858.87230071736</v>
      </c>
      <c r="G16" s="17" t="n">
        <f aca="false">G6+G14</f>
        <v>3182.01807465514</v>
      </c>
    </row>
    <row r="17" customFormat="false" ht="15" hidden="false" customHeight="true" outlineLevel="0" collapsed="false">
      <c r="B17" s="9" t="s">
        <v>110</v>
      </c>
      <c r="C17" s="18" t="n">
        <f aca="false">C16/C6</f>
        <v>-0.320480192076831</v>
      </c>
      <c r="D17" s="18" t="n">
        <f aca="false">D16/D6</f>
        <v>0.281157761660789</v>
      </c>
      <c r="E17" s="18" t="n">
        <f aca="false">E16/E6</f>
        <v>0.501583409596065</v>
      </c>
      <c r="F17" s="18" t="n">
        <f aca="false">F16/F6</f>
        <v>0.602652019412428</v>
      </c>
      <c r="G17" s="18" t="n">
        <f aca="false">G16/G6</f>
        <v>0.659000523720331</v>
      </c>
    </row>
    <row r="19" customFormat="false" ht="15" hidden="false" customHeight="true" outlineLevel="0" collapsed="false">
      <c r="B19" s="5" t="s">
        <v>111</v>
      </c>
      <c r="C19" s="6"/>
      <c r="D19" s="6"/>
      <c r="E19" s="6"/>
      <c r="F19" s="6"/>
      <c r="G19" s="6"/>
    </row>
    <row r="20" customFormat="false" ht="15" hidden="false" customHeight="true" outlineLevel="0" collapsed="false">
      <c r="B20" s="9" t="s">
        <v>112</v>
      </c>
      <c r="C20" s="16" t="n">
        <f aca="false">Assumptions!C38</f>
        <v>20</v>
      </c>
      <c r="D20" s="16" t="n">
        <f aca="false">Assumptions!D38</f>
        <v>35</v>
      </c>
      <c r="E20" s="16" t="n">
        <f aca="false">Assumptions!E38</f>
        <v>55</v>
      </c>
      <c r="F20" s="16" t="n">
        <f aca="false">Assumptions!F38</f>
        <v>70</v>
      </c>
      <c r="G20" s="16" t="n">
        <f aca="false">Assumptions!G38</f>
        <v>85</v>
      </c>
    </row>
    <row r="21" customFormat="false" ht="15" hidden="false" customHeight="true" outlineLevel="0" collapsed="false">
      <c r="B21" s="9" t="s">
        <v>113</v>
      </c>
      <c r="C21" s="16" t="n">
        <f aca="false">SUM($C$20:C20)/Assumptions!$C$39</f>
        <v>6.66666666666667</v>
      </c>
      <c r="D21" s="16" t="n">
        <f aca="false">SUM($C$20:D20)/Assumptions!$C$39</f>
        <v>18.3333333333333</v>
      </c>
      <c r="E21" s="16" t="n">
        <f aca="false">SUM($C$20:E20)/Assumptions!$C$39</f>
        <v>36.6666666666667</v>
      </c>
      <c r="F21" s="16" t="n">
        <f aca="false">SUM($C$20:F20)/Assumptions!$C$39</f>
        <v>60</v>
      </c>
      <c r="G21" s="16" t="n">
        <f aca="false">SUM($C$20:G20)/Assumptions!$C$39</f>
        <v>88.3333333333333</v>
      </c>
    </row>
    <row r="22" customFormat="false" ht="15" hidden="false" customHeight="true" outlineLevel="0" collapsed="false">
      <c r="B22" s="8" t="s">
        <v>114</v>
      </c>
      <c r="C22" s="17" t="n">
        <f aca="false">C16-C21</f>
        <v>-56.7216666666667</v>
      </c>
      <c r="D22" s="17" t="n">
        <f aca="false">D16-D21</f>
        <v>152.800226666667</v>
      </c>
      <c r="E22" s="17" t="n">
        <f aca="false">E16-E21</f>
        <v>806.521172093334</v>
      </c>
      <c r="F22" s="17" t="n">
        <f aca="false">F16-F21</f>
        <v>1798.87230071736</v>
      </c>
      <c r="G22" s="17" t="n">
        <f aca="false">G16-G21</f>
        <v>3093.6847413218</v>
      </c>
    </row>
    <row r="23" customFormat="false" ht="15" hidden="false" customHeight="true" outlineLevel="0" collapsed="false">
      <c r="B23" s="9" t="s">
        <v>115</v>
      </c>
      <c r="C23" s="20" t="n">
        <f aca="false">'Cash Flow'!C17*Assumptions!$C$41</f>
        <v>0</v>
      </c>
      <c r="D23" s="20" t="n">
        <f aca="false">'Cash Flow'!D17*Assumptions!$C$41</f>
        <v>9.56500725</v>
      </c>
      <c r="E23" s="20" t="n">
        <f aca="false">'Cash Flow'!E17*Assumptions!$C$41</f>
        <v>12.310986713125</v>
      </c>
      <c r="F23" s="20" t="n">
        <f aca="false">'Cash Flow'!F17*Assumptions!$C$41</f>
        <v>29.2195704557203</v>
      </c>
      <c r="G23" s="20" t="n">
        <f aca="false">'Cash Flow'!G17*Assumptions!$C$41</f>
        <v>68.7885461655674</v>
      </c>
    </row>
    <row r="24" customFormat="false" ht="15" hidden="false" customHeight="true" outlineLevel="0" collapsed="false">
      <c r="B24" s="9" t="s">
        <v>116</v>
      </c>
      <c r="C24" s="16" t="n">
        <f aca="false">C22+C23</f>
        <v>-56.7216666666667</v>
      </c>
      <c r="D24" s="16" t="n">
        <f aca="false">D22+D23</f>
        <v>162.365233916667</v>
      </c>
      <c r="E24" s="16" t="n">
        <f aca="false">E22+E23</f>
        <v>818.832158806459</v>
      </c>
      <c r="F24" s="16" t="n">
        <f aca="false">F22+F23</f>
        <v>1828.09187117308</v>
      </c>
      <c r="G24" s="16" t="n">
        <f aca="false">G22+G23</f>
        <v>3162.47328748737</v>
      </c>
    </row>
    <row r="25" customFormat="false" ht="15" hidden="false" customHeight="true" outlineLevel="0" collapsed="false">
      <c r="B25" s="9" t="s">
        <v>117</v>
      </c>
      <c r="C25" s="16" t="n">
        <f aca="false">-MAX(C24,0)*Assumptions!$C$32</f>
        <v>-0</v>
      </c>
      <c r="D25" s="16" t="n">
        <f aca="false">-MAX(D24,0)*Assumptions!$C$32</f>
        <v>-40.5913084791667</v>
      </c>
      <c r="E25" s="16" t="n">
        <f aca="false">-MAX(E24,0)*Assumptions!$C$32</f>
        <v>-204.708039701615</v>
      </c>
      <c r="F25" s="16" t="n">
        <f aca="false">-MAX(F24,0)*Assumptions!$C$32</f>
        <v>-457.02296779327</v>
      </c>
      <c r="G25" s="16" t="n">
        <f aca="false">-MAX(G24,0)*Assumptions!$C$32</f>
        <v>-790.618321871843</v>
      </c>
    </row>
    <row r="26" customFormat="false" ht="15" hidden="false" customHeight="true" outlineLevel="0" collapsed="false">
      <c r="B26" s="8" t="s">
        <v>118</v>
      </c>
      <c r="C26" s="17" t="n">
        <f aca="false">C24+C25</f>
        <v>-56.7216666666667</v>
      </c>
      <c r="D26" s="17" t="n">
        <f aca="false">D24+D25</f>
        <v>121.7739254375</v>
      </c>
      <c r="E26" s="17" t="n">
        <f aca="false">E24+E25</f>
        <v>614.124119104844</v>
      </c>
      <c r="F26" s="17" t="n">
        <f aca="false">F24+F25</f>
        <v>1371.06890337981</v>
      </c>
      <c r="G26" s="17" t="n">
        <f aca="false">G24+G25</f>
        <v>2371.85496561553</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5"/>
    <col collapsed="false" customWidth="true" hidden="false" outlineLevel="0" max="7" min="3" style="1" width="14"/>
  </cols>
  <sheetData>
    <row r="2" customFormat="false" ht="17.25" hidden="false" customHeight="true" outlineLevel="0" collapsed="false">
      <c r="B2" s="2" t="s">
        <v>119</v>
      </c>
      <c r="C2" s="2"/>
      <c r="D2" s="2"/>
      <c r="E2" s="2"/>
      <c r="F2" s="2"/>
    </row>
    <row r="3" customFormat="false" ht="15" hidden="false" customHeight="true" outlineLevel="0" collapsed="false">
      <c r="B3" s="4" t="s">
        <v>120</v>
      </c>
    </row>
    <row r="5" customFormat="false" ht="15" hidden="false" customHeight="true" outlineLevel="0" collapsed="false">
      <c r="C5" s="13" t="s">
        <v>53</v>
      </c>
      <c r="D5" s="13" t="s">
        <v>54</v>
      </c>
      <c r="E5" s="13" t="s">
        <v>55</v>
      </c>
      <c r="F5" s="13" t="s">
        <v>56</v>
      </c>
      <c r="G5" s="13" t="s">
        <v>57</v>
      </c>
    </row>
    <row r="6" customFormat="false" ht="15" hidden="false" customHeight="true" outlineLevel="0" collapsed="false">
      <c r="B6" s="9" t="s">
        <v>118</v>
      </c>
      <c r="C6" s="20" t="n">
        <f aca="false">'P&amp;L'!C26</f>
        <v>-56.7216666666667</v>
      </c>
      <c r="D6" s="20" t="n">
        <f aca="false">'P&amp;L'!D26</f>
        <v>121.7739254375</v>
      </c>
      <c r="E6" s="20" t="n">
        <f aca="false">'P&amp;L'!E26</f>
        <v>614.124119104844</v>
      </c>
      <c r="F6" s="20" t="n">
        <f aca="false">'P&amp;L'!F26</f>
        <v>1371.06890337981</v>
      </c>
      <c r="G6" s="20" t="n">
        <f aca="false">'P&amp;L'!G26</f>
        <v>2371.85496561553</v>
      </c>
    </row>
    <row r="7" customFormat="false" ht="15" hidden="false" customHeight="true" outlineLevel="0" collapsed="false">
      <c r="B7" s="9" t="s">
        <v>121</v>
      </c>
      <c r="C7" s="20" t="n">
        <f aca="false">'P&amp;L'!C21</f>
        <v>6.66666666666667</v>
      </c>
      <c r="D7" s="20" t="n">
        <f aca="false">'P&amp;L'!D21</f>
        <v>18.3333333333333</v>
      </c>
      <c r="E7" s="20" t="n">
        <f aca="false">'P&amp;L'!E21</f>
        <v>36.6666666666667</v>
      </c>
      <c r="F7" s="20" t="n">
        <f aca="false">'P&amp;L'!F21</f>
        <v>60</v>
      </c>
      <c r="G7" s="20" t="n">
        <f aca="false">'P&amp;L'!G21</f>
        <v>88.3333333333333</v>
      </c>
    </row>
    <row r="8" customFormat="false" ht="15" hidden="false" customHeight="true" outlineLevel="0" collapsed="false">
      <c r="B8" s="9" t="s">
        <v>122</v>
      </c>
      <c r="C8" s="16" t="n">
        <f aca="false">-Assumptions!C38</f>
        <v>-20</v>
      </c>
      <c r="D8" s="16" t="n">
        <f aca="false">-Assumptions!D38</f>
        <v>-35</v>
      </c>
      <c r="E8" s="16" t="n">
        <f aca="false">-Assumptions!E38</f>
        <v>-55</v>
      </c>
      <c r="F8" s="16" t="n">
        <f aca="false">-Assumptions!F38</f>
        <v>-70</v>
      </c>
      <c r="G8" s="16" t="n">
        <f aca="false">-Assumptions!G38</f>
        <v>-85</v>
      </c>
    </row>
    <row r="9" customFormat="false" ht="15" hidden="false" customHeight="true" outlineLevel="0" collapsed="false">
      <c r="B9" s="9" t="s">
        <v>123</v>
      </c>
      <c r="C9" s="16" t="n">
        <f aca="false">-'P&amp;L'!C6*Assumptions!$C$40</f>
        <v>-4.685625</v>
      </c>
      <c r="D9" s="16" t="n">
        <f aca="false">-('P&amp;L'!D6-'P&amp;L'!C6)*Assumptions!$C$40</f>
        <v>-13.57461</v>
      </c>
      <c r="E9" s="16" t="n">
        <f aca="false">-('P&amp;L'!E6-'P&amp;L'!D6)*Assumptions!$C$40</f>
        <v>-32.171327685</v>
      </c>
      <c r="F9" s="16" t="n">
        <f aca="false">-('P&amp;L'!F6-'P&amp;L'!E6)*Assumptions!$C$40</f>
        <v>-42.10304638491</v>
      </c>
      <c r="G9" s="16" t="n">
        <f aca="false">-('P&amp;L'!G6-'P&amp;L'!F6)*Assumptions!$C$40</f>
        <v>-52.3219408167879</v>
      </c>
    </row>
    <row r="10" customFormat="false" ht="15" hidden="false" customHeight="true" outlineLevel="0" collapsed="false">
      <c r="B10" s="8" t="s">
        <v>124</v>
      </c>
      <c r="C10" s="17" t="n">
        <f aca="false">SUM(C6:C9)</f>
        <v>-74.740625</v>
      </c>
      <c r="D10" s="17" t="n">
        <f aca="false">SUM(D6:D9)</f>
        <v>91.5326487708333</v>
      </c>
      <c r="E10" s="17" t="n">
        <f aca="false">SUM(E6:E9)</f>
        <v>563.619458086511</v>
      </c>
      <c r="F10" s="17" t="n">
        <f aca="false">SUM(F6:F9)</f>
        <v>1318.9658569949</v>
      </c>
      <c r="G10" s="17" t="n">
        <f aca="false">SUM(G6:G9)</f>
        <v>2322.86635813207</v>
      </c>
    </row>
    <row r="12" customFormat="false" ht="15" hidden="false" customHeight="true" outlineLevel="0" collapsed="false">
      <c r="B12" s="5" t="s">
        <v>125</v>
      </c>
      <c r="C12" s="6"/>
      <c r="D12" s="6"/>
      <c r="E12" s="6"/>
      <c r="F12" s="6"/>
      <c r="G12" s="6"/>
    </row>
    <row r="13" customFormat="false" ht="15" hidden="false" customHeight="true" outlineLevel="0" collapsed="false">
      <c r="B13" s="9" t="s">
        <v>126</v>
      </c>
      <c r="C13" s="16" t="n">
        <f aca="false">Assumptions!$C$44*Assumptions!$C$47/1000000</f>
        <v>32.79785</v>
      </c>
      <c r="D13" s="16" t="n">
        <v>0</v>
      </c>
      <c r="E13" s="16" t="n">
        <v>0</v>
      </c>
      <c r="F13" s="16" t="n">
        <v>0</v>
      </c>
      <c r="G13" s="16" t="n">
        <v>0</v>
      </c>
    </row>
    <row r="14" customFormat="false" ht="15" hidden="false" customHeight="true" outlineLevel="0" collapsed="false">
      <c r="B14" s="9" t="s">
        <v>127</v>
      </c>
      <c r="C14" s="16" t="n">
        <f aca="false">Assumptions!$C$45*Assumptions!$C$47/1000000</f>
        <v>360.77635</v>
      </c>
      <c r="D14" s="16" t="n">
        <v>0</v>
      </c>
      <c r="E14" s="16" t="n">
        <v>0</v>
      </c>
      <c r="F14" s="16" t="n">
        <v>0</v>
      </c>
      <c r="G14" s="16" t="n">
        <v>0</v>
      </c>
    </row>
    <row r="15" customFormat="false" ht="15" hidden="false" customHeight="true" outlineLevel="0" collapsed="false">
      <c r="B15" s="8" t="s">
        <v>128</v>
      </c>
      <c r="C15" s="17" t="n">
        <f aca="false">C10+C13+C14</f>
        <v>318.833575</v>
      </c>
      <c r="D15" s="17" t="n">
        <f aca="false">D10+D13+D14</f>
        <v>91.5326487708333</v>
      </c>
      <c r="E15" s="17" t="n">
        <f aca="false">E10+E13+E14</f>
        <v>563.619458086511</v>
      </c>
      <c r="F15" s="17" t="n">
        <f aca="false">F10+F13+F14</f>
        <v>1318.9658569949</v>
      </c>
      <c r="G15" s="17" t="n">
        <f aca="false">G10+G13+G14</f>
        <v>2322.86635813207</v>
      </c>
    </row>
    <row r="17" customFormat="false" ht="15" hidden="false" customHeight="true" outlineLevel="0" collapsed="false">
      <c r="B17" s="9" t="s">
        <v>129</v>
      </c>
      <c r="C17" s="16" t="n">
        <v>0</v>
      </c>
      <c r="D17" s="16" t="n">
        <f aca="false">C18</f>
        <v>318.833575</v>
      </c>
      <c r="E17" s="16" t="n">
        <f aca="false">D18</f>
        <v>410.366223770833</v>
      </c>
      <c r="F17" s="16" t="n">
        <f aca="false">E18</f>
        <v>973.985681857344</v>
      </c>
      <c r="G17" s="16" t="n">
        <f aca="false">F18</f>
        <v>2292.95153885225</v>
      </c>
    </row>
    <row r="18" customFormat="false" ht="15" hidden="false" customHeight="true" outlineLevel="0" collapsed="false">
      <c r="B18" s="8" t="s">
        <v>130</v>
      </c>
      <c r="C18" s="17" t="n">
        <f aca="false">C17+C15</f>
        <v>318.833575</v>
      </c>
      <c r="D18" s="17" t="n">
        <f aca="false">D17+D15</f>
        <v>410.366223770833</v>
      </c>
      <c r="E18" s="17" t="n">
        <f aca="false">E17+E15</f>
        <v>973.985681857344</v>
      </c>
      <c r="F18" s="17" t="n">
        <f aca="false">F17+F15</f>
        <v>2292.95153885225</v>
      </c>
      <c r="G18" s="17" t="n">
        <f aca="false">G17+G15</f>
        <v>4615.81789698432</v>
      </c>
    </row>
    <row r="20" customFormat="false" ht="15" hidden="false" customHeight="true" outlineLevel="0" collapsed="false">
      <c r="B20" s="9" t="s">
        <v>131</v>
      </c>
      <c r="C20" s="9" t="str">
        <f aca="false">IF(C18&gt;=0,"OK","ALERTE")</f>
        <v>OK</v>
      </c>
      <c r="D20" s="9" t="str">
        <f aca="false">IF(D18&gt;=0,"OK","ALERTE")</f>
        <v>OK</v>
      </c>
      <c r="E20" s="9" t="str">
        <f aca="false">IF(E18&gt;=0,"OK","ALERTE")</f>
        <v>OK</v>
      </c>
      <c r="F20" s="9" t="str">
        <f aca="false">IF(F18&gt;=0,"OK","ALERTE")</f>
        <v>OK</v>
      </c>
      <c r="G20" s="9" t="str">
        <f aca="false">IF(G18&gt;=0,"OK","ALERTE")</f>
        <v>OK</v>
      </c>
    </row>
    <row r="22" customFormat="false" ht="27.75" hidden="false" customHeight="true" outlineLevel="0" collapsed="false">
      <c r="B22" s="7" t="s">
        <v>132</v>
      </c>
      <c r="C22" s="7"/>
      <c r="D22" s="7"/>
      <c r="E22" s="7"/>
      <c r="F22" s="7"/>
      <c r="G22" s="7"/>
    </row>
  </sheetData>
  <mergeCells count="2">
    <mergeCell ref="B2:F2"/>
    <mergeCell ref="B22:G2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5"/>
    <col collapsed="false" customWidth="true" hidden="false" outlineLevel="0" max="4" min="3" style="1" width="16"/>
    <col collapsed="false" customWidth="true" hidden="false" outlineLevel="0" max="7" min="5" style="1" width="13"/>
  </cols>
  <sheetData>
    <row r="2" customFormat="false" ht="17.25" hidden="false" customHeight="true" outlineLevel="0" collapsed="false">
      <c r="B2" s="2" t="s">
        <v>133</v>
      </c>
      <c r="C2" s="2"/>
      <c r="D2" s="2"/>
      <c r="E2" s="2"/>
      <c r="F2" s="2"/>
    </row>
    <row r="3" customFormat="false" ht="15" hidden="false" customHeight="true" outlineLevel="0" collapsed="false">
      <c r="B3" s="4" t="s">
        <v>134</v>
      </c>
    </row>
    <row r="5" customFormat="false" ht="15" hidden="false" customHeight="true" outlineLevel="0" collapsed="false">
      <c r="B5" s="5" t="s">
        <v>135</v>
      </c>
      <c r="C5" s="6"/>
      <c r="D5" s="6"/>
      <c r="E5" s="6"/>
      <c r="F5" s="6"/>
      <c r="G5" s="6"/>
    </row>
    <row r="6" customFormat="false" ht="15" hidden="false" customHeight="true" outlineLevel="0" collapsed="false">
      <c r="B6" s="9" t="s">
        <v>136</v>
      </c>
      <c r="C6" s="21" t="n">
        <f aca="false">Assumptions!$C$45</f>
        <v>550000</v>
      </c>
    </row>
    <row r="7" customFormat="false" ht="15" hidden="false" customHeight="true" outlineLevel="0" collapsed="false">
      <c r="B7" s="9" t="s">
        <v>137</v>
      </c>
      <c r="C7" s="21" t="n">
        <f aca="false">Assumptions!$C$46</f>
        <v>2450000</v>
      </c>
    </row>
    <row r="8" customFormat="false" ht="15" hidden="false" customHeight="true" outlineLevel="0" collapsed="false">
      <c r="B8" s="8" t="s">
        <v>138</v>
      </c>
      <c r="C8" s="22" t="n">
        <f aca="false">C7+C6</f>
        <v>3000000</v>
      </c>
    </row>
    <row r="9" customFormat="false" ht="15" hidden="false" customHeight="true" outlineLevel="0" collapsed="false">
      <c r="B9" s="9" t="s">
        <v>139</v>
      </c>
      <c r="C9" s="18" t="n">
        <f aca="false">C6/C8</f>
        <v>0.183333333333333</v>
      </c>
    </row>
    <row r="10" customFormat="false" ht="15" hidden="false" customHeight="true" outlineLevel="0" collapsed="false">
      <c r="B10" s="9" t="s">
        <v>140</v>
      </c>
      <c r="C10" s="23" t="n">
        <f aca="false">Assumptions!$C$48</f>
        <v>0.1</v>
      </c>
    </row>
    <row r="11" customFormat="false" ht="15" hidden="false" customHeight="true" outlineLevel="0" collapsed="false">
      <c r="B11" s="9" t="s">
        <v>141</v>
      </c>
      <c r="C11" s="18" t="n">
        <f aca="false">1-C9-C10</f>
        <v>0.716666666666667</v>
      </c>
    </row>
    <row r="13" customFormat="false" ht="15" hidden="false" customHeight="true" outlineLevel="0" collapsed="false">
      <c r="B13" s="5" t="s">
        <v>142</v>
      </c>
      <c r="C13" s="6"/>
      <c r="D13" s="6"/>
      <c r="E13" s="6"/>
      <c r="F13" s="6"/>
      <c r="G13" s="6"/>
    </row>
    <row r="14" customFormat="false" ht="15" hidden="false" customHeight="true" outlineLevel="0" collapsed="false">
      <c r="B14" s="8" t="s">
        <v>143</v>
      </c>
      <c r="C14" s="8" t="s">
        <v>144</v>
      </c>
    </row>
    <row r="15" customFormat="false" ht="15" hidden="false" customHeight="true" outlineLevel="0" collapsed="false">
      <c r="B15" s="9" t="s">
        <v>145</v>
      </c>
      <c r="C15" s="18" t="n">
        <f aca="false">C11</f>
        <v>0.716666666666667</v>
      </c>
    </row>
    <row r="16" customFormat="false" ht="15" hidden="false" customHeight="true" outlineLevel="0" collapsed="false">
      <c r="B16" s="9" t="s">
        <v>146</v>
      </c>
      <c r="C16" s="18" t="n">
        <f aca="false">C9</f>
        <v>0.183333333333333</v>
      </c>
    </row>
    <row r="17" customFormat="false" ht="15" hidden="false" customHeight="true" outlineLevel="0" collapsed="false">
      <c r="B17" s="9" t="s">
        <v>147</v>
      </c>
      <c r="C17" s="18" t="n">
        <f aca="false">C10</f>
        <v>0.1</v>
      </c>
    </row>
    <row r="18" customFormat="false" ht="15" hidden="false" customHeight="true" outlineLevel="0" collapsed="false">
      <c r="B18" s="8" t="s">
        <v>76</v>
      </c>
      <c r="C18" s="15" t="n">
        <f aca="false">SUM(C15:C17)</f>
        <v>1</v>
      </c>
    </row>
    <row r="20" customFormat="false" ht="15" hidden="false" customHeight="true" outlineLevel="0" collapsed="false">
      <c r="B20" s="5" t="s">
        <v>148</v>
      </c>
      <c r="C20" s="6"/>
      <c r="D20" s="6"/>
      <c r="E20" s="6"/>
      <c r="F20" s="6"/>
      <c r="G20" s="6"/>
    </row>
    <row r="21" customFormat="false" ht="15" hidden="false" customHeight="true" outlineLevel="0" collapsed="false">
      <c r="B21" s="8" t="s">
        <v>149</v>
      </c>
      <c r="C21" s="8" t="s">
        <v>150</v>
      </c>
      <c r="D21" s="8" t="s">
        <v>151</v>
      </c>
    </row>
    <row r="22" customFormat="false" ht="15" hidden="false" customHeight="true" outlineLevel="0" collapsed="false">
      <c r="B22" s="9" t="s">
        <v>72</v>
      </c>
      <c r="C22" s="23" t="n">
        <f aca="false">Assumptions!$C$51</f>
        <v>0.35</v>
      </c>
      <c r="D22" s="24" t="n">
        <f aca="false">C22*$C$6</f>
        <v>192500</v>
      </c>
    </row>
    <row r="23" customFormat="false" ht="15" hidden="false" customHeight="true" outlineLevel="0" collapsed="false">
      <c r="B23" s="9" t="s">
        <v>73</v>
      </c>
      <c r="C23" s="23" t="n">
        <f aca="false">Assumptions!$C$52</f>
        <v>0.3</v>
      </c>
      <c r="D23" s="24" t="n">
        <f aca="false">C23*$C$6</f>
        <v>165000</v>
      </c>
    </row>
    <row r="24" customFormat="false" ht="15" hidden="false" customHeight="true" outlineLevel="0" collapsed="false">
      <c r="B24" s="9" t="s">
        <v>74</v>
      </c>
      <c r="C24" s="23" t="n">
        <f aca="false">Assumptions!$C$53</f>
        <v>0.25</v>
      </c>
      <c r="D24" s="24" t="n">
        <f aca="false">C24*$C$6</f>
        <v>137500</v>
      </c>
    </row>
    <row r="25" customFormat="false" ht="15" hidden="false" customHeight="true" outlineLevel="0" collapsed="false">
      <c r="B25" s="9" t="s">
        <v>75</v>
      </c>
      <c r="C25" s="23" t="n">
        <f aca="false">Assumptions!$C$54</f>
        <v>0.1</v>
      </c>
      <c r="D25" s="24" t="n">
        <f aca="false">C25*$C$6</f>
        <v>55000</v>
      </c>
    </row>
    <row r="26" customFormat="false" ht="15" hidden="false" customHeight="true" outlineLevel="0" collapsed="false">
      <c r="B26" s="8" t="s">
        <v>76</v>
      </c>
      <c r="C26" s="15" t="n">
        <f aca="false">SUM(C22:C25)</f>
        <v>1</v>
      </c>
      <c r="D26" s="22" t="n">
        <f aca="false">SUM(D22:D25)</f>
        <v>550000</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0"/>
    <col collapsed="false" customWidth="true" hidden="false" outlineLevel="0" max="7" min="3" style="1" width="14"/>
  </cols>
  <sheetData>
    <row r="2" customFormat="false" ht="17.25" hidden="false" customHeight="true" outlineLevel="0" collapsed="false">
      <c r="B2" s="2" t="s">
        <v>152</v>
      </c>
      <c r="C2" s="2"/>
      <c r="D2" s="2"/>
      <c r="E2" s="2"/>
      <c r="F2" s="2"/>
    </row>
    <row r="3" customFormat="false" ht="15" hidden="false" customHeight="true" outlineLevel="0" collapsed="false">
      <c r="B3" s="4" t="s">
        <v>153</v>
      </c>
    </row>
    <row r="5" customFormat="false" ht="15" hidden="false" customHeight="true" outlineLevel="0" collapsed="false">
      <c r="B5" s="5" t="s">
        <v>154</v>
      </c>
      <c r="C5" s="6"/>
      <c r="D5" s="6"/>
      <c r="E5" s="6"/>
      <c r="F5" s="6"/>
      <c r="G5" s="6"/>
    </row>
    <row r="6" customFormat="false" ht="15" hidden="false" customHeight="true" outlineLevel="0" collapsed="false">
      <c r="C6" s="13" t="s">
        <v>53</v>
      </c>
      <c r="D6" s="13" t="s">
        <v>54</v>
      </c>
      <c r="E6" s="13" t="s">
        <v>55</v>
      </c>
      <c r="F6" s="13" t="s">
        <v>56</v>
      </c>
      <c r="G6" s="13" t="s">
        <v>57</v>
      </c>
    </row>
    <row r="7" customFormat="false" ht="15" hidden="false" customHeight="true" outlineLevel="0" collapsed="false">
      <c r="B7" s="9" t="s">
        <v>155</v>
      </c>
      <c r="C7" s="20" t="n">
        <f aca="false">'Revenue Build'!C29</f>
        <v>156.1875</v>
      </c>
      <c r="D7" s="20" t="n">
        <f aca="false">'Revenue Build'!D29</f>
        <v>608.6745</v>
      </c>
      <c r="E7" s="20" t="n">
        <f aca="false">'Revenue Build'!E29</f>
        <v>1681.0520895</v>
      </c>
      <c r="F7" s="20" t="n">
        <f aca="false">'Revenue Build'!F29</f>
        <v>3084.486968997</v>
      </c>
      <c r="G7" s="20" t="n">
        <f aca="false">'Revenue Build'!G29</f>
        <v>4828.55166288993</v>
      </c>
    </row>
    <row r="8" customFormat="false" ht="15" hidden="false" customHeight="true" outlineLevel="0" collapsed="false">
      <c r="B8" s="9" t="s">
        <v>110</v>
      </c>
      <c r="C8" s="23" t="n">
        <f aca="false">'P&amp;L'!C17</f>
        <v>-0.320480192076831</v>
      </c>
      <c r="D8" s="23" t="n">
        <f aca="false">'P&amp;L'!D17</f>
        <v>0.281157761660789</v>
      </c>
      <c r="E8" s="23" t="n">
        <f aca="false">'P&amp;L'!E17</f>
        <v>0.501583409596065</v>
      </c>
      <c r="F8" s="23" t="n">
        <f aca="false">'P&amp;L'!F17</f>
        <v>0.602652019412428</v>
      </c>
      <c r="G8" s="23" t="n">
        <f aca="false">'P&amp;L'!G17</f>
        <v>0.659000523720331</v>
      </c>
    </row>
    <row r="9" customFormat="false" ht="15" hidden="false" customHeight="true" outlineLevel="0" collapsed="false">
      <c r="B9" s="9" t="s">
        <v>156</v>
      </c>
      <c r="C9" s="20" t="n">
        <f aca="false">'Cash Flow'!C18</f>
        <v>318.833575</v>
      </c>
      <c r="D9" s="20" t="n">
        <f aca="false">'Cash Flow'!D18</f>
        <v>410.366223770833</v>
      </c>
      <c r="E9" s="20" t="n">
        <f aca="false">'Cash Flow'!E18</f>
        <v>973.985681857344</v>
      </c>
      <c r="F9" s="20" t="n">
        <f aca="false">'Cash Flow'!F18</f>
        <v>2292.95153885225</v>
      </c>
      <c r="G9" s="20" t="n">
        <f aca="false">'Cash Flow'!G18</f>
        <v>4615.81789698432</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62"/>
    <col collapsed="false" customWidth="true" hidden="false" outlineLevel="0" max="3" min="3" style="1" width="14"/>
    <col collapsed="false" customWidth="true" hidden="false" outlineLevel="0" max="4" min="4" style="1" width="12"/>
  </cols>
  <sheetData>
    <row r="2" customFormat="false" ht="17.25" hidden="false" customHeight="true" outlineLevel="0" collapsed="false">
      <c r="B2" s="2" t="s">
        <v>157</v>
      </c>
      <c r="C2" s="2"/>
      <c r="D2" s="2"/>
      <c r="E2" s="2"/>
      <c r="F2" s="2"/>
    </row>
    <row r="5" customFormat="false" ht="15" hidden="false" customHeight="true" outlineLevel="0" collapsed="false">
      <c r="B5" s="8" t="s">
        <v>158</v>
      </c>
      <c r="C5" s="8" t="s">
        <v>159</v>
      </c>
      <c r="D5" s="8" t="s">
        <v>160</v>
      </c>
    </row>
    <row r="6" customFormat="false" ht="15" hidden="false" customHeight="true" outlineLevel="0" collapsed="false">
      <c r="B6" s="9" t="s">
        <v>161</v>
      </c>
      <c r="C6" s="25" t="n">
        <f aca="false">'Revenue Build'!G29-'P&amp;L'!G6</f>
        <v>0</v>
      </c>
      <c r="D6" s="9" t="str">
        <f aca="false">IF(ABS(C6)&lt;0.01,"OK","ERREUR")</f>
        <v>OK</v>
      </c>
    </row>
    <row r="7" customFormat="false" ht="15" hidden="false" customHeight="true" outlineLevel="0" collapsed="false">
      <c r="B7" s="9" t="s">
        <v>162</v>
      </c>
      <c r="C7" s="25" t="n">
        <f aca="false">'Funding &amp; Cap Table'!C18-1</f>
        <v>0</v>
      </c>
      <c r="D7" s="9" t="str">
        <f aca="false">IF(ABS(C7)&lt;0.0001,"OK","ERREUR")</f>
        <v>OK</v>
      </c>
    </row>
    <row r="8" customFormat="false" ht="15" hidden="false" customHeight="true" outlineLevel="0" collapsed="false">
      <c r="B8" s="9" t="s">
        <v>163</v>
      </c>
      <c r="C8" s="25" t="n">
        <f aca="false">'Funding &amp; Cap Table'!C26-1</f>
        <v>0</v>
      </c>
      <c r="D8" s="9" t="str">
        <f aca="false">IF(ABS(C8)&lt;0.0001,"OK","ERREUR")</f>
        <v>OK</v>
      </c>
    </row>
    <row r="9" customFormat="false" ht="15" hidden="false" customHeight="true" outlineLevel="0" collapsed="false">
      <c r="B9" s="9" t="s">
        <v>164</v>
      </c>
      <c r="C9" s="25" t="n">
        <f aca="false">Assumptions!C55-1</f>
        <v>0</v>
      </c>
      <c r="D9" s="9" t="str">
        <f aca="false">IF(ABS(C9)&lt;0.0001,"OK","ERREUR")</f>
        <v>OK</v>
      </c>
    </row>
    <row r="10" customFormat="false" ht="15" hidden="false" customHeight="true" outlineLevel="0" collapsed="false">
      <c r="B10" s="9" t="s">
        <v>165</v>
      </c>
      <c r="C10" s="25" t="n">
        <f aca="false">'P&amp;L'!G26-'Cash Flow'!G6</f>
        <v>0</v>
      </c>
      <c r="D10" s="9" t="str">
        <f aca="false">IF(ABS(C10)&lt;0.01,"OK","ERREUR")</f>
        <v>OK</v>
      </c>
    </row>
    <row r="11" customFormat="false" ht="15" hidden="false" customHeight="true" outlineLevel="0" collapsed="false">
      <c r="B11" s="9" t="s">
        <v>166</v>
      </c>
      <c r="C11" s="16" t="n">
        <f aca="false">COUNTIF('Cash Flow'!C20:G20,"ALERTE")</f>
        <v>0</v>
      </c>
      <c r="D11" s="9" t="str">
        <f aca="false">IF(C11=0,"OK","ALERTE")</f>
        <v>OK</v>
      </c>
    </row>
  </sheetData>
  <mergeCells count="1">
    <mergeCell ref="B2:F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2026-10-13T13:22:09Z</dcterms:created>
  <dc:creator>openpyxl</dc:creator>
  <dc:description/>
  <dc:language>en-US</dc:language>
  <cp:lastModifiedBy/>
  <dcterms:modified xsi:type="dcterms:W3CDTF">2026-10-13T13:37:44Z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