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Working Capital Schedule" sheetId="3" state="visible" r:id="rId5"/>
    <sheet name="PP&amp;E Schedule" sheetId="4" state="visible" r:id="rId6"/>
    <sheet name="Debt Schedule" sheetId="5" state="visible" r:id="rId7"/>
    <sheet name="Income Statement" sheetId="6" state="visible" r:id="rId8"/>
    <sheet name="Balance Sheet" sheetId="7" state="visible" r:id="rId9"/>
    <sheet name="Cash Flow" sheetId="8" state="visible" r:id="rId10"/>
    <sheet name="DCF" sheetId="9" state="visible" r:id="rId11"/>
    <sheet name="Sensitivity" sheetId="10" state="visible" r:id="rId12"/>
    <sheet name="Dashboard" sheetId="11" state="visible" r:id="rId13"/>
    <sheet name="Checks" sheetId="12" state="visible" r:id="rId14"/>
  </sheets>
  <definedNames>
    <definedName function="false" hidden="false" localSheetId="1" name="_xlnm.Print_Area" vbProcedure="false">Assumptions!$A$1:$J$63</definedName>
    <definedName function="false" hidden="false" localSheetId="6" name="_xlnm.Print_Area" vbProcedure="false">'Balance Sheet'!$A$1:$J$22</definedName>
    <definedName function="false" hidden="false" localSheetId="7" name="_xlnm.Print_Area" vbProcedure="false">'Cash Flow'!$A$1:$J$18</definedName>
    <definedName function="false" hidden="false" localSheetId="11" name="_xlnm.Print_Area" vbProcedure="false">Checks!$A$1:$F$19</definedName>
    <definedName function="false" hidden="false" localSheetId="0" name="_xlnm.Print_Area" vbProcedure="false">Cover!$A$1:$J$35</definedName>
    <definedName function="false" hidden="false" localSheetId="10" name="_xlnm.Print_Area" vbProcedure="false">Dashboard!$A$1:$T$60</definedName>
    <definedName function="false" hidden="false" localSheetId="8" name="_xlnm.Print_Area" vbProcedure="false">DCF!$A$1:$J$46</definedName>
    <definedName function="false" hidden="false" localSheetId="4" name="_xlnm.Print_Area" vbProcedure="false">'Debt Schedule'!$A$1:$J$18</definedName>
    <definedName function="false" hidden="false" localSheetId="5" name="_xlnm.Print_Area" vbProcedure="false">'Income Statement'!$A$1:$J$25</definedName>
    <definedName function="false" hidden="false" localSheetId="3" name="_xlnm.Print_Area" vbProcedure="false">'PP&amp;E Schedule'!$A$1:$J$13</definedName>
    <definedName function="false" hidden="false" localSheetId="9" name="_xlnm.Print_Area" vbProcedure="false">Sensitivity!$A$1:$J$19</definedName>
    <definedName function="false" hidden="false" localSheetId="2" name="_xlnm.Print_Area" vbProcedure="false">'Working Capital Schedule'!$A$1:$J$26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<sst xmlns="http://schemas.openxmlformats.org/spreadsheetml/2006/main" count="361" uniqueCount="275">
  <si>
    <t xml:space="preserve">Modèle intégré 3 états + DCF - Fnac Darty (EPA : FNAC)</t>
  </si>
  <si>
    <t xml:space="preserve">Exercice de formation - Yvann Ahoure</t>
  </si>
  <si>
    <t xml:space="preserve">Toutes les valeurs sont en millions d'euros (M€), sauf mention contraire.</t>
  </si>
  <si>
    <t xml:space="preserve">Objectif du modèle</t>
  </si>
  <si>
    <t xml:space="preserve">Le modèle intègre 3 exercices réels (FY2023A-FY2025A) pour le compte de résultat, des schedules dédiées (fonds de roulement, immobilisations/amortissements, dette avec remboursement programmé et sweep de trésorerie excédentaire), un DCF alimenté directement par les projections du modèle, une grille de sensibilité et un dashboard de graphiques. Objectif : montrer la chaîne complète historique réel -&gt; modèle 3 états -&gt; valorisation, pas seulement un modèle 3 états isolé.</t>
  </si>
  <si>
    <t xml:space="preserve">Avertissement sur la nature des données</t>
  </si>
  <si>
    <t xml:space="preserve">Le chiffre d'affaires, l'EBIT (résultat opérationnel courant) et le résultat net des 3 derniers exercices (FY2023A-FY2025A), ainsi que la trésorerie, la dette financière brute, les totaux de bilan FY2025A, l'EBITDA FY2025A, le cours de bourse, le nombre d'actions, le bêta et le coupon obligataire sont des chiffres réels publiés par Fnac Darty ou issus de sources de marché (voir Sources ci-dessous et le détail dans l'onglet Assumptions). La répartition détaillée du bilan d'ouverture (créances, stocks, immobilisations hors montant total, dettes fournisseurs, dettes locatives, autres passifs) n'est pas publiée à ce niveau de détail : elle est une reconstruction personnelle plausible, recalée pour respecter à la fois les totaux de bilan réels et les deux nouvelles ancres réelles (trésorerie et dette financière brute). Les hypothèses de projection 2026-2030 (croissance, marges, délais de BFR, capex, seuil de trésorerie, prime de risque, croissance terminale) sont des estimations personnelles, clairement identifiées dans Assumptions.</t>
  </si>
  <si>
    <t xml:space="preserve">Point de vigilance méthodologique : rupture de périmètre Unieuro</t>
  </si>
  <si>
    <t xml:space="preserve">Fnac Darty a acquis Unieuro (Italie) en novembre 2024. Le chiffre d'affaires FY2023A (7 875 M€) est sur un périmètre 100% organique ; FY2024A (8 253 M€) inclut environ 2 mois d'Unieuro ; FY2025A (10 330 M€) inclut Unieuro en année pleine. La hausse FY2024A -&gt; FY2025A n'est donc pas une croissance organique comparable, mais tire largement son origine du changement de périmètre - signalé explicitement plutôt que lissé.</t>
  </si>
  <si>
    <t xml:space="preserve">Sommaire</t>
  </si>
  <si>
    <t xml:space="preserve">Assumptions</t>
  </si>
  <si>
    <t xml:space="preserve">Bilan d'ouverture, hypothèses opérationnelles, données de marché et hypothèses de valorisation (WACC)</t>
  </si>
  <si>
    <t xml:space="preserve">Working Capital Schedule</t>
  </si>
  <si>
    <t xml:space="preserve">Schedule détaillée du besoin en fonds de roulement (créances, stocks, fournisseurs)</t>
  </si>
  <si>
    <t xml:space="preserve">PP&amp;E Schedule</t>
  </si>
  <si>
    <t xml:space="preserve">Rollforward des immobilisations (capex - amortissements)</t>
  </si>
  <si>
    <t xml:space="preserve">Debt Schedule</t>
  </si>
  <si>
    <t xml:space="preserve">Échéancier de dette : remboursement programmé + sweep de trésorerie excédentaire</t>
  </si>
  <si>
    <t xml:space="preserve">Income Statement</t>
  </si>
  <si>
    <t xml:space="preserve">Compte de résultat : 3 exercices réels (FY2023A-FY2025A) + projection 5 ans</t>
  </si>
  <si>
    <t xml:space="preserve">Balance Sheet</t>
  </si>
  <si>
    <t xml:space="preserve">Bilan : FY2025A (réel + reconstruction) + projection 5 ans</t>
  </si>
  <si>
    <t xml:space="preserve">Cash Flow</t>
  </si>
  <si>
    <t xml:space="preserve">Tableau de flux de trésorerie, FY2026F-FY2030F</t>
  </si>
  <si>
    <t xml:space="preserve">DCF</t>
  </si>
  <si>
    <t xml:space="preserve">Valorisation DCF : WACC (CAPM), FCFF, valeur d'entreprise, valeur par action implicite</t>
  </si>
  <si>
    <t xml:space="preserve">Sensitivity</t>
  </si>
  <si>
    <t xml:space="preserve">Grille de sensibilité WACC x croissance terminale sur la valeur par action</t>
  </si>
  <si>
    <t xml:space="preserve">Dashboard</t>
  </si>
  <si>
    <t xml:space="preserve">Graphiques de synthèse (compte de résultat, flux de trésorerie, valorisation)</t>
  </si>
  <si>
    <t xml:space="preserve">Checks</t>
  </si>
  <si>
    <t xml:space="preserve">Contrôles de cohérence du modèle</t>
  </si>
  <si>
    <t xml:space="preserve">Sources (données réelles)</t>
  </si>
  <si>
    <t xml:space="preserve">- Communiqué de résultats annuels Fnac Darty FY2024 (26/02/2025, fnacdarty.com) : CA FY2023 et FY2024 tels que publiés, capex brut FY2023-FY2024.</t>
  </si>
  <si>
    <t xml:space="preserve">- Communiqué préliminaire de résultats annuels FY2025 (26/01/2026, globenewswire.com) et présentation FY2025 (fnacdarty.com, 25/02/2026) : CA, EBIT, résultat net, EBITDA, D&amp;A, charge financière, trésorerie et dette financière brute FY2025, chiffres FY2024 retraités (périmètre Unieuro en année pleine).</t>
  </si>
  <si>
    <t xml:space="preserve">- Communiqué de pricing de l'émission obligataire senior (mars 2025, fnacdarty.com) : montant 300 M€, coupon fixe 4,75 %, maturité avril 2032.</t>
  </si>
  <si>
    <t xml:space="preserve">- stockanalysis.com (cours de bourse, actions en circulation, bêta - 12/10/2026).</t>
  </si>
  <si>
    <t xml:space="preserve">- tradingeconomics.com (taux de l'OAT France 10 ans - 12/10/2026).</t>
  </si>
  <si>
    <t xml:space="preserve">Hypothèses</t>
  </si>
  <si>
    <t xml:space="preserve">BILAN D'OUVERTURE FY2025A (ancres réelles + reconstruction complémentaire)</t>
  </si>
  <si>
    <t xml:space="preserve">Trésorerie</t>
  </si>
  <si>
    <t xml:space="preserve">Réel - présentation des résultats annuels FY2025 (fnacdarty.com, 25/02/2026).</t>
  </si>
  <si>
    <t xml:space="preserve">Créances clients</t>
  </si>
  <si>
    <t xml:space="preserve">Reconstruction personnelle (voir méthode en E19).</t>
  </si>
  <si>
    <t xml:space="preserve">Stocks</t>
  </si>
  <si>
    <t xml:space="preserve">Immobilisations (PP&amp;E + droits d'usage IFRS16)</t>
  </si>
  <si>
    <t xml:space="preserve">Goodwill et incorporels</t>
  </si>
  <si>
    <t xml:space="preserve">Dettes fournisseurs</t>
  </si>
  <si>
    <t xml:space="preserve">Dettes locatives (IFRS16)</t>
  </si>
  <si>
    <t xml:space="preserve">Dette financière brute (hors IFRS16)</t>
  </si>
  <si>
    <t xml:space="preserve">Réelle - présentation des résultats annuels FY2025 (fnacdarty.com, 25/02/2026).</t>
  </si>
  <si>
    <t xml:space="preserve">Autres passifs (provisions, impôts, divers)</t>
  </si>
  <si>
    <t xml:space="preserve">Capitaux propres</t>
  </si>
  <si>
    <t xml:space="preserve">Réel, publié (communiqué FY2025).</t>
  </si>
  <si>
    <t xml:space="preserve">Contrôle : actif total reconstitué</t>
  </si>
  <si>
    <t xml:space="preserve">Contrôle : passif + capitaux propres reconstitués</t>
  </si>
  <si>
    <t xml:space="preserve">Écart (doit être nul)</t>
  </si>
  <si>
    <t xml:space="preserve">Méthode de reconstruction : seuls le total actif (8 543 M€), le total capitaux propres (1 576 M€), la trésorerie (1 104 M€, réelle) et la dette financière brute (958 M€, réelle) sont des ancres fixes. Les 4 autres postes d'actif et les 3 autres postes de passif sont répartis proportionnellement à une estimation plausible de structure de bilan retail, de façon à ce que les totaux réels soient respectés exactement.</t>
  </si>
  <si>
    <t xml:space="preserve">HYPOTHÈSES OPÉRATIONNELLES 2026-2030 (personnelles)</t>
  </si>
  <si>
    <t xml:space="preserve">Croissance du chiffre d'affaires (%/an)</t>
  </si>
  <si>
    <t xml:space="preserve">Hypothèse personnelle (croissance modérée, cohérente avec un secteur retail mature).</t>
  </si>
  <si>
    <t xml:space="preserve">Marge d'EBIT (% du CA)</t>
  </si>
  <si>
    <t xml:space="preserve">Hypothèse personnelle, alignée sur la marge d'EBIT réelle FY2025A (203/10 330 = 2,0 %).</t>
  </si>
  <si>
    <t xml:space="preserve">D&amp;A (% du CA)</t>
  </si>
  <si>
    <t xml:space="preserve">Calculé à partir du D&amp;A réel FY2025A (464 M€, présentation FY2025) rapporté au CA réel FY2025A.</t>
  </si>
  <si>
    <t xml:space="preserve">Capex (% du CA)</t>
  </si>
  <si>
    <t xml:space="preserve">Hypothèse personnelle. Pour comparaison, le capex réel publié s'est établi entre 122 et 176 M€ selon les exercices et la base (brut/net de cessions), voir Sources ; l'hypothèse se situe dans cet ordre de grandeur.</t>
  </si>
  <si>
    <t xml:space="preserve">Délai clients (jours de CA)</t>
  </si>
  <si>
    <t xml:space="preserve">Calculé sur le bilan d'ouverture reconstitué (créances / CA réel x 365) : la formule ancre exactement le premier exercice prévisionnel sur le bilan d'ouverture, sans à-coup de BFR.</t>
  </si>
  <si>
    <t xml:space="preserve">Délai stocks (jours de CA)</t>
  </si>
  <si>
    <t xml:space="preserve">Calculé sur le bilan d'ouverture reconstitué (stocks / CA réel x 365).</t>
  </si>
  <si>
    <t xml:space="preserve">Délai fournisseurs (jours de CA)</t>
  </si>
  <si>
    <t xml:space="preserve">Calculé sur le bilan d'ouverture reconstitué (fournisseurs / CA réel x 365).</t>
  </si>
  <si>
    <t xml:space="preserve">Taux d'IS</t>
  </si>
  <si>
    <t xml:space="preserve">Taux normal de l'impôt sur les sociétés en France.</t>
  </si>
  <si>
    <t xml:space="preserve">Taux d'intérêt sur la dette financière</t>
  </si>
  <si>
    <t xml:space="preserve">Hypothèse personnelle, proche du coût de la dette avant impôt réel (obligation senior, 4,75 %) ; voir C52.</t>
  </si>
  <si>
    <t xml:space="preserve">Taux d'intérêt implicite sur les dettes locatives</t>
  </si>
  <si>
    <t xml:space="preserve">Hypothèse personnelle.</t>
  </si>
  <si>
    <t xml:space="preserve">Amortissement programmé de la dette financière (M€/an)</t>
  </si>
  <si>
    <t xml:space="preserve">Hypothèse de simplification. La dette réelle est une obligation senior in fine (300 M€, échéance avril 2032) : le modèle ne cherche pas à répliquer ce profil bullet exact mais illustre la mécanique d'un échéancier de dette avec amortissement + sweep (voir Debt Schedule).</t>
  </si>
  <si>
    <t xml:space="preserve">Seuil de trésorerie minimum cible (M€)</t>
  </si>
  <si>
    <t xml:space="preserve">Hypothèse personnelle : au-delà de ce seuil, la trésorerie excédentaire de l'exercice précédent sert au remboursement anticipé de la dette (voir Debt Schedule).</t>
  </si>
  <si>
    <t xml:space="preserve">Taux de sweep de la trésorerie excédentaire (%)</t>
  </si>
  <si>
    <t xml:space="preserve">Hypothèse personnelle : 50 % de l'excédent de trésorerie disponible est affecté au remboursement anticipé, le solde reste disponible pour d'autres usages.</t>
  </si>
  <si>
    <t xml:space="preserve">Taux de distribution de dividendes (% du RN, si positif)</t>
  </si>
  <si>
    <t xml:space="preserve">DONNÉES RÉELLES DE MARCHÉ ET DE DETTE (base de la valorisation)</t>
  </si>
  <si>
    <t xml:space="preserve">Cours de bourse Fnac Darty (EPA : FNAC)</t>
  </si>
  <si>
    <t xml:space="preserve">Réel - stockanalysis.com, clôture du 12/10/2026.</t>
  </si>
  <si>
    <t xml:space="preserve">Actions en circulation (millions)</t>
  </si>
  <si>
    <t xml:space="preserve">Réel - stockanalysis.com, au 14/09/2026 (dernier chiffre disponible).</t>
  </si>
  <si>
    <t xml:space="preserve">Capitalisation boursière (M€)</t>
  </si>
  <si>
    <t xml:space="preserve">Dette financière brute hors IFRS16 (= Assumptions C13)</t>
  </si>
  <si>
    <t xml:space="preserve">Trésorerie (= Assumptions C6)</t>
  </si>
  <si>
    <t xml:space="preserve">Dette nette hors IFRS16 (négatif = position de cash net)</t>
  </si>
  <si>
    <t xml:space="preserve">958 - 1 104 = -146 M€ : Fnac Darty est en position de cash net hors IFRS16 à fin FY2025, et non en dette nette. Point clarifié par cette recherche (un résidu ambigu sur ce point avait été signalé dans le projet 4 Transaction Services DD).</t>
  </si>
  <si>
    <t xml:space="preserve">EBITDA FY2025A réel</t>
  </si>
  <si>
    <t xml:space="preserve">Réel - présentation des résultats annuels FY2025 (périmètre Unieuro année pleine).</t>
  </si>
  <si>
    <t xml:space="preserve">Valeur d'entreprise réelle implicite (M€)</t>
  </si>
  <si>
    <t xml:space="preserve">Multiple VE/EBITDA réel implicite</t>
  </si>
  <si>
    <t xml:space="preserve">Pour comparaison avec le multiple implicite du DCF (onglet DCF).</t>
  </si>
  <si>
    <t xml:space="preserve">HYPOTHÈSES DE VALORISATION (WACC / DCF)</t>
  </si>
  <si>
    <t xml:space="preserve">Bêta (actions Fnac Darty)</t>
  </si>
  <si>
    <t xml:space="preserve">Réel - stockanalysis.com.</t>
  </si>
  <si>
    <t xml:space="preserve">Taux sans risque (OAT France 10 ans)</t>
  </si>
  <si>
    <t xml:space="preserve">Réel - tradingeconomics.com, 12/10/2026.</t>
  </si>
  <si>
    <t xml:space="preserve">Prime de risque actions (ERP)</t>
  </si>
  <si>
    <t xml:space="preserve">Hypothèse personnelle, cohérente avec les autres DCF du portfolio (projets Danone/Sonatel/Tesla).</t>
  </si>
  <si>
    <t xml:space="preserve">Coût des fonds propres (CAPM)</t>
  </si>
  <si>
    <t xml:space="preserve">Coût de la dette avant impôt</t>
  </si>
  <si>
    <t xml:space="preserve">Réel - coupon fixe de l'obligation senior Fnac Darty émise en mars 2025 (300 M€, échéance avril 2032).</t>
  </si>
  <si>
    <t xml:space="preserve">Coût de la dette après impôt</t>
  </si>
  <si>
    <t xml:space="preserve">Poids des fonds propres (E/V)</t>
  </si>
  <si>
    <t xml:space="preserve">Poids de la dette (D/V)</t>
  </si>
  <si>
    <t xml:space="preserve">Pondération sur la base de la capitalisation boursière réelle et de la dette financière brute réelle.</t>
  </si>
  <si>
    <t xml:space="preserve">WACC</t>
  </si>
  <si>
    <t xml:space="preserve">Croissance terminale (Gordon-Shapiro)</t>
  </si>
  <si>
    <t xml:space="preserve">Hypothèse personnelle, volontairement inférieure à la croissance explicite du CA (2,0 %/an) et au WACC.</t>
  </si>
  <si>
    <t xml:space="preserve">DETTE NETTE Y COMPRIS DETTES LOCATIVES IFRS16 (convention retenue pour le DCF)</t>
  </si>
  <si>
    <t xml:space="preserve">Dette nette y compris IFRS16 (M€)</t>
  </si>
  <si>
    <t xml:space="preserve">Dette financière brute + dettes locatives IFRS16 - trésorerie. Convention retenue pour le pont VE -&gt; capitaux propres du DCF et pour le multiple de cross-check : l'EBITDA réel (C44) inclut déjà le D&amp;A des droits d'usage IFRS16 (convention EBITDA post-IFRS16), donc la dette nette comparée doit inclure les dettes locatives pour rester cohérente (comme pour l'EBITDA(aL) utilisé dans le projet Iliad du portfolio).</t>
  </si>
  <si>
    <t xml:space="preserve">VE réelle actuelle y compris IFRS16 (M€)</t>
  </si>
  <si>
    <t xml:space="preserve">Multiple VE/EBITDA réel y compris IFRS16</t>
  </si>
  <si>
    <t xml:space="preserve">C45/C46 (hors IFRS16) restent affichés ci-dessus pour mémoire car c'est la convention que Fnac Darty met en avant dans ses communiqués (covenants de dette), mais C61-C63 sont la base retenue pour le DCF et la comparaison de multiples, par cohérence avec un EBITDA post-IFRS16.</t>
  </si>
  <si>
    <t xml:space="preserve">Schedule du besoin en fonds de roulement (BFR)</t>
  </si>
  <si>
    <t xml:space="preserve">Toutes les valeurs sont en millions d'euros (M€), sauf mention contraire. Historique non reconstitué : seule FY2025A (colonne E) sert d'ancre.</t>
  </si>
  <si>
    <t xml:space="preserve">FY2023A</t>
  </si>
  <si>
    <t xml:space="preserve">FY2024A</t>
  </si>
  <si>
    <t xml:space="preserve">FY2025A</t>
  </si>
  <si>
    <t xml:space="preserve">FY2026F</t>
  </si>
  <si>
    <t xml:space="preserve">FY2027F</t>
  </si>
  <si>
    <t xml:space="preserve">FY2028F</t>
  </si>
  <si>
    <t xml:space="preserve">FY2029F</t>
  </si>
  <si>
    <t xml:space="preserve">FY2030F</t>
  </si>
  <si>
    <t xml:space="preserve">HYPOTHÈSES DE DÉLAIS (jours, référence Assumptions)</t>
  </si>
  <si>
    <t xml:space="preserve">MONTANT PAR JOUR</t>
  </si>
  <si>
    <t xml:space="preserve">Chiffre d'affaires par jour (CA / 365)</t>
  </si>
  <si>
    <t xml:space="preserve">SOLDES DE BFR</t>
  </si>
  <si>
    <t xml:space="preserve">BFR net (créances + stocks - fournisseurs)</t>
  </si>
  <si>
    <t xml:space="preserve">VARIATION DE BFR (impact trésorerie, flux de financement de l'exploitation)</t>
  </si>
  <si>
    <t xml:space="preserve">- Variation des créances clients (impact cash)</t>
  </si>
  <si>
    <t xml:space="preserve">- Variation des stocks (impact cash)</t>
  </si>
  <si>
    <t xml:space="preserve">+ Variation des dettes fournisseurs (impact cash)</t>
  </si>
  <si>
    <t xml:space="preserve">-&gt; Impact net de la variation de BFR sur la trésorerie</t>
  </si>
  <si>
    <t xml:space="preserve">Simplification assumée : les délais clients et fournisseurs sont calculés sur une base chiffre d'affaires (et non coût des ventes), faute de décomposition publique du coût des ventes à ce niveau de détail.</t>
  </si>
  <si>
    <t xml:space="preserve">Schedule des immobilisations et amortissements</t>
  </si>
  <si>
    <t xml:space="preserve">Toutes les valeurs sont en millions d'euros (M€). Rollforward PP&amp;E + droits d'usage IFRS16.</t>
  </si>
  <si>
    <t xml:space="preserve">ROLLFORWARD DES IMMOBILISATIONS</t>
  </si>
  <si>
    <t xml:space="preserve">Immobilisations en début de période</t>
  </si>
  <si>
    <t xml:space="preserve">+ Investissements (capex)</t>
  </si>
  <si>
    <t xml:space="preserve">- Dotations aux amortissements (D&amp;A)</t>
  </si>
  <si>
    <t xml:space="preserve">Immobilisations en fin de période</t>
  </si>
  <si>
    <t xml:space="preserve">Le capex réel publié par Fnac Darty varie selon la base retenue (brut avant cessions : 122-176 M€ sur FY2023-FY2025 ; net de cessions : 56-176 M€ selon l'exercice - voir Sources, Cover). L'hypothèse de 2,5 % du CA se situe dans cet ordre de grandeur sans chercher à répliquer un exercice particulier.</t>
  </si>
  <si>
    <t xml:space="preserve">Point de vigilance : le D&amp;A (4,5 % du CA, cohérent avec le réel FY2025A qui inclut l'amortissement des droits d'usage IFRS16) dépasse le capex (2,5 % du CA), ce qui fait mécaniquement diminuer la valeur nette des immobilisations sur l'horizon de projection. Ce n'est pas nécessairement une erreur de modèle (une partie du D&amp;A correspond aux droits d'usage IFRS16, dont le coût cash passe par le remboursement des dettes locatives et non par du capex), mais cet écart gonfle le FCFF du DCF - voir la note correspondante dans l'onglet DCF.</t>
  </si>
  <si>
    <t xml:space="preserve">Schedule de dette : remboursement programmé + sweep de trésorerie</t>
  </si>
  <si>
    <t xml:space="preserve">Toutes les valeurs sont en millions d'euros (M€). Porte sur la dette financière brute hors IFRS16.</t>
  </si>
  <si>
    <t xml:space="preserve">La dette réelle de Fnac Darty est une obligation senior de 300 M€, remboursable in fine en avril 2032 (coupon fixe 4,75 %). Le modèle simplifie volontairement en un amortissement linéaire hypothétique + un mécanisme de remboursement anticipé (cash sweep) non circulaire, pour illustrer la mécanique d'un échéancier de dette - ce n'est pas une prévision du remboursement réel de cette obligation.</t>
  </si>
  <si>
    <t xml:space="preserve">DETTE FINANCIÈRE BRUTE</t>
  </si>
  <si>
    <t xml:space="preserve">Dette en début de période</t>
  </si>
  <si>
    <t xml:space="preserve">- Amortissement programmé</t>
  </si>
  <si>
    <t xml:space="preserve">Trésorerie de clôture de l'exercice précédent (référence)</t>
  </si>
  <si>
    <t xml:space="preserve">Seuil de trésorerie minimum cible (réf. Assumptions)</t>
  </si>
  <si>
    <t xml:space="preserve">Excédent de trésorerie disponible (si positif)</t>
  </si>
  <si>
    <t xml:space="preserve">- Remboursement anticipé (sweep)</t>
  </si>
  <si>
    <t xml:space="preserve">Dette en fin de période</t>
  </si>
  <si>
    <t xml:space="preserve">Variation totale de la dette (amortissement + sweep)</t>
  </si>
  <si>
    <t xml:space="preserve">CHARGE D'INTÉRÊT (sur dette en début de période, non circulaire)</t>
  </si>
  <si>
    <t xml:space="preserve">Charge d'intérêt sur la dette financière</t>
  </si>
  <si>
    <t xml:space="preserve">Compte de résultat</t>
  </si>
  <si>
    <t xml:space="preserve">Chiffre d'affaires</t>
  </si>
  <si>
    <t xml:space="preserve">EBIT (résultat opérationnel courant)</t>
  </si>
  <si>
    <t xml:space="preserve">D&amp;A (mémo, inclus dans l'EBIT)</t>
  </si>
  <si>
    <t xml:space="preserve">EBITDA (EBIT + D&amp;A)</t>
  </si>
  <si>
    <t xml:space="preserve">BRIDGE EBT -&gt; RÉSULTAT NET (prévisions ; voir note en ligne 16 pour l'historique)</t>
  </si>
  <si>
    <t xml:space="preserve">Charge d'intérêt (dette financière + dettes locatives)</t>
  </si>
  <si>
    <t xml:space="preserve">Résultat avant impôt (EBT)</t>
  </si>
  <si>
    <t xml:space="preserve">Impôt (= MAX(EBT,0) x taux d'IS)</t>
  </si>
  <si>
    <t xml:space="preserve">Résultat net</t>
  </si>
  <si>
    <t xml:space="preserve">FY2023A/FY2024A : résultat net publié (part du Groupe), incluant des éléments non récurrents et activités cédées non détaillés ici. FY2025A : résultat net publié, tiré par 183 M€ de dépréciations non récurrentes - le pont détaillé EBIT -&gt; résultat net FY2025A (dépréciations, résidu non documenté publiquement) est traité dans le projet 4 (Transaction Services DD). E13 (85 M€) est un EBT analytique avant éléments non récurrents, fourni à titre indicatif - il ne se reconcilie pas avec le résultat net publié (-146 M€) pour cette raison, et aucun impôt n'est calculé dessus (ligne 14 laissée vide en E).</t>
  </si>
  <si>
    <t xml:space="preserve">Dividendes versés</t>
  </si>
  <si>
    <t xml:space="preserve">RATIOS ET ANALYSE</t>
  </si>
  <si>
    <t xml:space="preserve">Croissance du CA (%)</t>
  </si>
  <si>
    <t xml:space="preserve">Marge d'EBIT (%)</t>
  </si>
  <si>
    <t xml:space="preserve">Marge d'EBITDA (%)</t>
  </si>
  <si>
    <t xml:space="preserve">Rupture de périmètre : FY2023A est 100% organique ; FY2024A inclut ~2 mois d'Unieuro (acquis nov. 2024) ; FY2025A inclut Unieuro en année pleine. La croissance FY2024A -&gt; FY2025A n'est donc pas comparable terme à terme (voir Cover).</t>
  </si>
  <si>
    <t xml:space="preserve">Bilan</t>
  </si>
  <si>
    <t xml:space="preserve">Toutes les valeurs sont en millions d'euros (M€). FY2025A (col. E) = ancre réelle + reconstruction (voir Assumptions).</t>
  </si>
  <si>
    <t xml:space="preserve">ACTIF</t>
  </si>
  <si>
    <t xml:space="preserve">TOTAL ACTIF</t>
  </si>
  <si>
    <t xml:space="preserve">PASSIF ET CAPITAUX PROPRES</t>
  </si>
  <si>
    <t xml:space="preserve">Dette financière brute</t>
  </si>
  <si>
    <t xml:space="preserve">Autres passifs</t>
  </si>
  <si>
    <t xml:space="preserve">TOTAL PASSIF ET CAPITAUX PROPRES</t>
  </si>
  <si>
    <t xml:space="preserve">Écart (contrôle d'équilibre, doit être nul)</t>
  </si>
  <si>
    <t xml:space="preserve">Tableau de flux de trésorerie</t>
  </si>
  <si>
    <t xml:space="preserve">Toutes les valeurs sont en millions d'euros (M€). FY2026F-FY2030F uniquement (pas d'historique reconstitué).</t>
  </si>
  <si>
    <t xml:space="preserve">+ D&amp;A</t>
  </si>
  <si>
    <t xml:space="preserve">+/- Variation de BFR</t>
  </si>
  <si>
    <t xml:space="preserve">-&gt; Flux de trésorerie d'exploitation</t>
  </si>
  <si>
    <t xml:space="preserve">- Capex</t>
  </si>
  <si>
    <t xml:space="preserve">-&gt; Flux de trésorerie d'investissement (= -Capex)</t>
  </si>
  <si>
    <t xml:space="preserve">+/- Remboursement de dette (programmé + sweep)</t>
  </si>
  <si>
    <t xml:space="preserve">- Dividendes versés</t>
  </si>
  <si>
    <t xml:space="preserve">-&gt; Flux de trésorerie de financement</t>
  </si>
  <si>
    <t xml:space="preserve">-&gt; Variation de trésorerie</t>
  </si>
  <si>
    <t xml:space="preserve">Valorisation DCF</t>
  </si>
  <si>
    <t xml:space="preserve">Toutes les valeurs sont en millions d'euros (M€), sauf mention contraire. FCFF non levier, actualisé au WACC.</t>
  </si>
  <si>
    <t xml:space="preserve">FLUX DE TRÉSORERIE DISPONIBLES NON LEVIER (FCFF)</t>
  </si>
  <si>
    <t xml:space="preserve">EBIT</t>
  </si>
  <si>
    <t xml:space="preserve">x (1 - taux d'IS)</t>
  </si>
  <si>
    <t xml:space="preserve">NOPAT (EBIT après impôt)</t>
  </si>
  <si>
    <t xml:space="preserve">-&gt; FCFF (flux de trésorerie disponibles non levier)</t>
  </si>
  <si>
    <t xml:space="preserve">ACTUALISATION</t>
  </si>
  <si>
    <t xml:space="preserve">WACC (réf. Assumptions)</t>
  </si>
  <si>
    <t xml:space="preserve">Période d'actualisation (années)</t>
  </si>
  <si>
    <t xml:space="preserve">Facteur d'actualisation</t>
  </si>
  <si>
    <t xml:space="preserve">FCFF actualisé (valeur actuelle)</t>
  </si>
  <si>
    <t xml:space="preserve">VALEUR TERMINALE (Gordon-Shapiro, FCFF normalisé)</t>
  </si>
  <si>
    <t xml:space="preserve">FCFF terminal normalisé (capex = D&amp;A en régime stationnaire, voir note)</t>
  </si>
  <si>
    <t xml:space="preserve">Croissance terminale (réf. Assumptions)</t>
  </si>
  <si>
    <t xml:space="preserve">Valeur terminale (fin FY2030F)</t>
  </si>
  <si>
    <t xml:space="preserve">Facteur d'actualisation (année 5)</t>
  </si>
  <si>
    <t xml:space="preserve">Valeur terminale actualisée (valeur actuelle)</t>
  </si>
  <si>
    <t xml:space="preserve">VALEUR D'ENTREPRISE ET PONT VERS LA VALEUR PAR ACTION</t>
  </si>
  <si>
    <t xml:space="preserve">Somme des FCFF actualisés (5 ans)</t>
  </si>
  <si>
    <t xml:space="preserve">+ Valeur terminale actualisée</t>
  </si>
  <si>
    <t xml:space="preserve">-&gt; Valeur d'entreprise (VE)</t>
  </si>
  <si>
    <t xml:space="preserve">- Dette nette y compris IFRS16 (réf. Assumptions)</t>
  </si>
  <si>
    <t xml:space="preserve">-&gt; Valeur des capitaux propres (equity value)</t>
  </si>
  <si>
    <t xml:space="preserve">Actions en circulation (millions, réf. Assumptions)</t>
  </si>
  <si>
    <t xml:space="preserve">-&gt; Valeur par action implicite (DCF)</t>
  </si>
  <si>
    <t xml:space="preserve">Cours de marché réel (réf. Assumptions)</t>
  </si>
  <si>
    <t xml:space="preserve">Écart valeur implicite vs cours de marché (%)</t>
  </si>
  <si>
    <t xml:space="preserve">LECTURE CROISÉE (multiples implicites)</t>
  </si>
  <si>
    <t xml:space="preserve">EBITDA FY2025A réel (réf. Assumptions)</t>
  </si>
  <si>
    <t xml:space="preserve">VE implicite du DCF / EBITDA FY2025A réel</t>
  </si>
  <si>
    <t xml:space="preserve">VE réelle actuelle / EBITDA FY2025A réel, y compris IFRS16</t>
  </si>
  <si>
    <t xml:space="preserve">Lecture : le multiple implicite du DCF et le multiple réel (y compris IFRS16) sont proches ; voir Checks.</t>
  </si>
  <si>
    <t xml:space="preserve">Note méthodologique IFRS16 : sur les 5 années explicites, le D&amp;A modélisé (4,5 % du CA, cohérent avec le réel FY2025A qui inclut l'amortissement des droits d'usage IFRS16) dépasse le capex (2,5 % du CA, proche du capex réel publié) - un écart réel pour un réseau mature, pas une erreur. Pour éviter de prolonger cet écart à l'infini dans la valeur terminale, le FCFF terminal (ligne 22) est normalisé : capex terminal = D&amp;A terminal (régime stationnaire), convention standard pour une perpétuité - voir PP&amp;E Schedule.</t>
  </si>
  <si>
    <t xml:space="preserve">Sensibilité : valeur par action implicite</t>
  </si>
  <si>
    <t xml:space="preserve">Grille WACC x croissance terminale. Formules SUMPRODUCT (pas de Data Table Excel), pour rester robuste à l'export/au recalcul.</t>
  </si>
  <si>
    <t xml:space="preserve">GRILLE DE SENSIBILITÉ - VALEUR PAR ACTION IMPLICITE (€)</t>
  </si>
  <si>
    <t xml:space="preserve">WACC \ croissance terminale</t>
  </si>
  <si>
    <t xml:space="preserve">Lecture : chaque cellule recalcule la valeur d'entreprise (somme des FCFF actualisés au WACC de la ligne + valeur terminale actualisée à la croissance de la colonne), déduit la dette nette y compris IFRS16 et divise par le nombre d'actions - exactement la même mécanique que l'onglet DCF, rejouée pour chaque couple (WACC, g).</t>
  </si>
  <si>
    <t xml:space="preserve">RAPPEL : SCÉNARIO CENTRAL (onglet DCF)</t>
  </si>
  <si>
    <t xml:space="preserve">WACC central</t>
  </si>
  <si>
    <t xml:space="preserve">Croissance terminale centrale</t>
  </si>
  <si>
    <t xml:space="preserve">Valeur par action implicite (scénario central)</t>
  </si>
  <si>
    <t xml:space="preserve">Cours de marché réel</t>
  </si>
  <si>
    <t xml:space="preserve">Dashboard : graphiques de synthèse</t>
  </si>
  <si>
    <t xml:space="preserve">COMPTE DE RÉSULTAT</t>
  </si>
  <si>
    <t xml:space="preserve">Marge nette (résultat net / CA, %)</t>
  </si>
  <si>
    <t xml:space="preserve">TABLEAU DE FLUX DE TRÉSORERIE (FY2026F-FY2030F)</t>
  </si>
  <si>
    <t xml:space="preserve">Exploitation</t>
  </si>
  <si>
    <t xml:space="preserve">Investissement</t>
  </si>
  <si>
    <t xml:space="preserve">Financement</t>
  </si>
  <si>
    <t xml:space="preserve">Variation de trésorerie</t>
  </si>
  <si>
    <t xml:space="preserve">VALORISATION (DCF, scénario central)</t>
  </si>
  <si>
    <t xml:space="preserve">Valeur par action implicite (DCF)</t>
  </si>
  <si>
    <t xml:space="preserve">Contrôles de cohérence</t>
  </si>
  <si>
    <t xml:space="preserve">Contrôle</t>
  </si>
  <si>
    <t xml:space="preserve">Résultat</t>
  </si>
  <si>
    <t xml:space="preserve">Bilan équilibré chaque année FY2025A-FY2030F (actif = passif + capitaux propres)</t>
  </si>
  <si>
    <t xml:space="preserve">Bilan d'ouverture FY2025A équilibré (Assumptions)</t>
  </si>
  <si>
    <t xml:space="preserve">Trésorerie jamais négative sur l'horizon</t>
  </si>
  <si>
    <t xml:space="preserve">Dette financière brute jamais négative sur l'horizon</t>
  </si>
  <si>
    <t xml:space="preserve">Capitaux propres positifs sur l'horizon</t>
  </si>
  <si>
    <t xml:space="preserve">Immobilisations (PP&amp;E Schedule) jamais négatives sur l'horizon</t>
  </si>
  <si>
    <t xml:space="preserve">Dette financière (Debt Schedule) jamais négative sur l'horizon</t>
  </si>
  <si>
    <t xml:space="preserve">Le sweep de trésorerie ne dépasse jamais la dette restante</t>
  </si>
  <si>
    <t xml:space="preserve">WACC &gt; croissance terminale (condition de validité du Gordon-Shapiro)</t>
  </si>
  <si>
    <t xml:space="preserve">Valeur d'entreprise (DCF) positive</t>
  </si>
  <si>
    <t xml:space="preserve">Grille de sensibilité : cellule centrale cohérente avec la valeur DCF</t>
  </si>
  <si>
    <t xml:space="preserve">Working Capital Schedule : BFR du bilan = BFR de la schedule</t>
  </si>
  <si>
    <t xml:space="preserve">Synthèse</t>
  </si>
</sst>
</file>

<file path=xl/styles.xml><?xml version="1.0" encoding="utf-8"?>
<styleSheet xmlns="http://schemas.openxmlformats.org/spreadsheetml/2006/main">
  <numFmts count="12">
    <numFmt numFmtId="164" formatCode="General"/>
    <numFmt numFmtId="165" formatCode="#,##0;\(#,##0\);\-"/>
    <numFmt numFmtId="166" formatCode="0.0%"/>
    <numFmt numFmtId="167" formatCode="0.00%"/>
    <numFmt numFmtId="168" formatCode="0.0"/>
    <numFmt numFmtId="169" formatCode="0.00&quot; €&quot;"/>
    <numFmt numFmtId="170" formatCode="0.00"/>
    <numFmt numFmtId="171" formatCode="0.0\x"/>
    <numFmt numFmtId="172" formatCode="0"/>
    <numFmt numFmtId="173" formatCode="0.000"/>
    <numFmt numFmtId="174" formatCode="#,##0"/>
    <numFmt numFmtId="175" formatCode="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color rgb="FF1F3864"/>
      <name val="Arial"/>
      <family val="0"/>
      <charset val="1"/>
    </font>
    <font>
      <i val="true"/>
      <sz val="8"/>
      <color rgb="FF7F7F7F"/>
      <name val="Arial"/>
      <family val="0"/>
      <charset val="1"/>
    </font>
    <font>
      <b val="true"/>
      <sz val="10"/>
      <name val="Arial"/>
      <family val="0"/>
      <charset val="1"/>
    </font>
    <font>
      <b val="true"/>
      <sz val="14"/>
      <color rgb="FFFFFFFF"/>
      <name val="Arial"/>
      <family val="0"/>
      <charset val="1"/>
    </font>
    <font>
      <i val="true"/>
      <sz val="9"/>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E7F2FF"/>
        <bgColor rgb="FFE2F0D9"/>
      </patternFill>
    </fill>
    <fill>
      <patternFill patternType="solid">
        <fgColor rgb="FF1F3864"/>
        <bgColor rgb="FF333333"/>
      </patternFill>
    </fill>
  </fills>
  <borders count="3">
    <border diagonalUp="false" diagonalDown="false">
      <left/>
      <right/>
      <top/>
      <bottom/>
      <diagonal/>
    </border>
    <border diagonalUp="false" diagonalDown="false">
      <left/>
      <right/>
      <top/>
      <bottom style="thin">
        <color rgb="FFBFBFBF"/>
      </bottom>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left" vertical="top"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xf numFmtId="168" fontId="5" fillId="0"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general" vertical="bottom" textRotation="0" wrapText="false" indent="0" shrinkToFit="false"/>
      <protection locked="true" hidden="false"/>
    </xf>
    <xf numFmtId="169" fontId="11" fillId="0" borderId="0" xfId="0" applyFont="true" applyBorder="false" applyAlignment="true" applyProtection="true">
      <alignment horizontal="general" vertical="bottom" textRotation="0" wrapText="false" indent="0" shrinkToFit="false"/>
      <protection locked="true" hidden="false"/>
    </xf>
    <xf numFmtId="170" fontId="11" fillId="0" borderId="0" xfId="0" applyFont="true" applyBorder="false" applyAlignment="true" applyProtection="true">
      <alignment horizontal="general" vertical="bottom" textRotation="0" wrapText="false" indent="0" shrinkToFit="false"/>
      <protection locked="true" hidden="false"/>
    </xf>
    <xf numFmtId="171" fontId="5"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center" vertical="bottom" textRotation="0" wrapText="false" indent="0" shrinkToFit="false"/>
      <protection locked="true" hidden="false"/>
    </xf>
    <xf numFmtId="165" fontId="8" fillId="0" borderId="2" xfId="0" applyFont="true" applyBorder="true" applyAlignment="true" applyProtection="true">
      <alignment horizontal="general" vertical="bottom" textRotation="0" wrapText="false" indent="0" shrinkToFit="false"/>
      <protection locked="true" hidden="false"/>
    </xf>
    <xf numFmtId="172" fontId="5" fillId="0" borderId="0" xfId="0" applyFont="true" applyBorder="false" applyAlignment="true" applyProtection="true">
      <alignment horizontal="general" vertical="bottom" textRotation="0" wrapText="false" indent="0" shrinkToFit="false"/>
      <protection locked="true" hidden="false"/>
    </xf>
    <xf numFmtId="173" fontId="5" fillId="0" borderId="0" xfId="0" applyFont="true" applyBorder="false" applyAlignment="true" applyProtection="true">
      <alignment horizontal="general" vertical="bottom" textRotation="0" wrapText="false" indent="0" shrinkToFit="false"/>
      <protection locked="true" hidden="false"/>
    </xf>
    <xf numFmtId="170" fontId="5"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69" fontId="5"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6" fontId="8" fillId="0" borderId="1" xfId="0" applyFont="true" applyBorder="tru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2E7D32"/>
      </font>
      <fill>
        <patternFill>
          <bgColor rgb="FFE2F0D9"/>
        </patternFill>
      </fill>
    </dxf>
    <dxf>
      <font>
        <name val="Arial"/>
        <charset val="1"/>
        <family val="0"/>
        <b val="1"/>
        <color rgb="FFC62828"/>
      </font>
      <fill>
        <patternFill>
          <bgColor rgb="FFFCE4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E4"/>
      <rgbColor rgb="FFE7F2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B3B3B3"/>
      <rgbColor rgb="FFFF99CC"/>
      <rgbColor rgb="FFCC99FF"/>
      <rgbColor rgb="FFFFCC99"/>
      <rgbColor rgb="FF3366FF"/>
      <rgbColor rgb="FF33CCCC"/>
      <rgbColor rgb="FF99CC00"/>
      <rgbColor rgb="FFFFC000"/>
      <rgbColor rgb="FFFF9900"/>
      <rgbColor rgb="FFED7D31"/>
      <rgbColor rgb="FF7F7F7F"/>
      <rgbColor rgb="FFA5A5A5"/>
      <rgbColor rgb="FF1F3864"/>
      <rgbColor rgb="FF2E7D32"/>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Chiffre d'affaires, FY2023A-FY2030F (M€)</a:t>
            </a:r>
          </a:p>
        </c:rich>
      </c:tx>
      <c:overlay val="0"/>
      <c:spPr>
        <a:noFill/>
        <a:ln w="0">
          <a:noFill/>
        </a:ln>
      </c:spPr>
    </c:title>
    <c:autoTitleDeleted val="0"/>
    <c:plotArea>
      <c:barChart>
        <c:barDir val="col"/>
        <c:grouping val="clustered"/>
        <c:varyColors val="0"/>
        <c:ser>
          <c:idx val="0"/>
          <c:order val="0"/>
          <c:tx>
            <c:strRef>
              <c:f>Dashboard!B7</c:f>
              <c:strCache>
                <c:ptCount val="1"/>
                <c:pt idx="0">
                  <c:v>Chiffre d'affaires</c:v>
                </c:pt>
              </c:strCache>
            </c:strRef>
          </c:tx>
          <c:spPr>
            <a:solidFill>
              <a:srgbClr val="1f3864"/>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Dashboard!$C$5:$J$5</c:f>
              <c:strCache>
                <c:ptCount val="8"/>
                <c:pt idx="0">
                  <c:v>FY2023A</c:v>
                </c:pt>
                <c:pt idx="1">
                  <c:v>FY2024A</c:v>
                </c:pt>
                <c:pt idx="2">
                  <c:v>FY2025A</c:v>
                </c:pt>
                <c:pt idx="3">
                  <c:v>FY2026F</c:v>
                </c:pt>
                <c:pt idx="4">
                  <c:v>FY2027F</c:v>
                </c:pt>
                <c:pt idx="5">
                  <c:v>FY2028F</c:v>
                </c:pt>
                <c:pt idx="6">
                  <c:v>FY2029F</c:v>
                </c:pt>
                <c:pt idx="7">
                  <c:v>FY2030F</c:v>
                </c:pt>
              </c:strCache>
            </c:strRef>
          </c:cat>
          <c:val>
            <c:numRef>
              <c:f>Dashboard!$C$7:$J$7</c:f>
              <c:numCache>
                <c:formatCode>#,##0;\(#,##0\);\-</c:formatCode>
                <c:ptCount val="8"/>
                <c:pt idx="0">
                  <c:v>7875</c:v>
                </c:pt>
                <c:pt idx="1">
                  <c:v>8253</c:v>
                </c:pt>
                <c:pt idx="2">
                  <c:v>10330</c:v>
                </c:pt>
                <c:pt idx="3">
                  <c:v>10536.6</c:v>
                </c:pt>
                <c:pt idx="4">
                  <c:v>10747.332</c:v>
                </c:pt>
                <c:pt idx="5">
                  <c:v>10962.27864</c:v>
                </c:pt>
                <c:pt idx="6">
                  <c:v>11181.5242128</c:v>
                </c:pt>
                <c:pt idx="7">
                  <c:v>11405.154697056</c:v>
                </c:pt>
              </c:numCache>
            </c:numRef>
          </c:val>
        </c:ser>
        <c:gapWidth val="150"/>
        <c:overlap val="0"/>
        <c:axId val="25065761"/>
        <c:axId val="36746533"/>
      </c:barChart>
      <c:lineChart>
        <c:grouping val="standard"/>
        <c:varyColors val="0"/>
        <c:ser>
          <c:idx val="1"/>
          <c:order val="1"/>
          <c:tx>
            <c:strRef>
              <c:f>Dashboard!B8</c:f>
              <c:strCache>
                <c:ptCount val="1"/>
                <c:pt idx="0">
                  <c:v>Marge d'EBIT (%)</c:v>
                </c:pt>
              </c:strCache>
            </c:strRef>
          </c:tx>
          <c:spPr>
            <a:solidFill>
              <a:srgbClr val="ed7d31"/>
            </a:solidFill>
            <a:ln w="20160">
              <a:solidFill>
                <a:srgbClr val="ed7d31"/>
              </a:solidFill>
              <a:round/>
            </a:ln>
          </c:spPr>
          <c:marker>
            <c:symbol val="circle"/>
            <c:size val="6"/>
            <c:spPr>
              <a:solidFill>
                <a:srgbClr val="ed7d31"/>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Dashboard!$C$5:$J$5</c:f>
              <c:strCache>
                <c:ptCount val="8"/>
                <c:pt idx="0">
                  <c:v>FY2023A</c:v>
                </c:pt>
                <c:pt idx="1">
                  <c:v>FY2024A</c:v>
                </c:pt>
                <c:pt idx="2">
                  <c:v>FY2025A</c:v>
                </c:pt>
                <c:pt idx="3">
                  <c:v>FY2026F</c:v>
                </c:pt>
                <c:pt idx="4">
                  <c:v>FY2027F</c:v>
                </c:pt>
                <c:pt idx="5">
                  <c:v>FY2028F</c:v>
                </c:pt>
                <c:pt idx="6">
                  <c:v>FY2029F</c:v>
                </c:pt>
                <c:pt idx="7">
                  <c:v>FY2030F</c:v>
                </c:pt>
              </c:strCache>
            </c:strRef>
          </c:cat>
          <c:val>
            <c:numRef>
              <c:f>Dashboard!$C$8:$J$8</c:f>
              <c:numCache>
                <c:formatCode>0.0%</c:formatCode>
                <c:ptCount val="8"/>
                <c:pt idx="0">
                  <c:v>0.0217142857142857</c:v>
                </c:pt>
                <c:pt idx="1">
                  <c:v>0.0229007633587786</c:v>
                </c:pt>
                <c:pt idx="2">
                  <c:v>0.0196515004840271</c:v>
                </c:pt>
                <c:pt idx="3">
                  <c:v>0.02</c:v>
                </c:pt>
                <c:pt idx="4">
                  <c:v>0.02</c:v>
                </c:pt>
                <c:pt idx="5">
                  <c:v>0.02</c:v>
                </c:pt>
                <c:pt idx="6">
                  <c:v>0.02</c:v>
                </c:pt>
                <c:pt idx="7">
                  <c:v>0.02</c:v>
                </c:pt>
              </c:numCache>
            </c:numRef>
          </c:val>
          <c:smooth val="0"/>
        </c:ser>
        <c:ser>
          <c:idx val="2"/>
          <c:order val="2"/>
          <c:tx>
            <c:strRef>
              <c:f>Dashboard!B9</c:f>
              <c:strCache>
                <c:ptCount val="1"/>
                <c:pt idx="0">
                  <c:v>Marge nette (résultat net / CA, %)</c:v>
                </c:pt>
              </c:strCache>
            </c:strRef>
          </c:tx>
          <c:spPr>
            <a:solidFill>
              <a:srgbClr val="808080"/>
            </a:solidFill>
            <a:ln w="20160">
              <a:solidFill>
                <a:srgbClr val="808080"/>
              </a:solidFill>
              <a:round/>
            </a:ln>
          </c:spPr>
          <c:marker>
            <c:symbol val="circle"/>
            <c:size val="6"/>
            <c:spPr>
              <a:solidFill>
                <a:srgbClr val="808080"/>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Dashboard!$C$5:$J$5</c:f>
              <c:strCache>
                <c:ptCount val="8"/>
                <c:pt idx="0">
                  <c:v>FY2023A</c:v>
                </c:pt>
                <c:pt idx="1">
                  <c:v>FY2024A</c:v>
                </c:pt>
                <c:pt idx="2">
                  <c:v>FY2025A</c:v>
                </c:pt>
                <c:pt idx="3">
                  <c:v>FY2026F</c:v>
                </c:pt>
                <c:pt idx="4">
                  <c:v>FY2027F</c:v>
                </c:pt>
                <c:pt idx="5">
                  <c:v>FY2028F</c:v>
                </c:pt>
                <c:pt idx="6">
                  <c:v>FY2029F</c:v>
                </c:pt>
                <c:pt idx="7">
                  <c:v>FY2030F</c:v>
                </c:pt>
              </c:strCache>
            </c:strRef>
          </c:cat>
          <c:val>
            <c:numRef>
              <c:f>Dashboard!$C$9:$J$9</c:f>
              <c:numCache>
                <c:formatCode>0.0%</c:formatCode>
                <c:ptCount val="8"/>
                <c:pt idx="0">
                  <c:v>0.00634920634920635</c:v>
                </c:pt>
                <c:pt idx="1">
                  <c:v>0.00436205016357688</c:v>
                </c:pt>
                <c:pt idx="2">
                  <c:v>-0.0141335914811229</c:v>
                </c:pt>
                <c:pt idx="3">
                  <c:v>0.005236888559877</c:v>
                </c:pt>
                <c:pt idx="4">
                  <c:v>0.0068477441657148</c:v>
                </c:pt>
                <c:pt idx="5">
                  <c:v>0.00807405274205838</c:v>
                </c:pt>
                <c:pt idx="6">
                  <c:v>0.00869160244546513</c:v>
                </c:pt>
                <c:pt idx="7">
                  <c:v>0.00881529651516189</c:v>
                </c:pt>
              </c:numCache>
            </c:numRef>
          </c:val>
          <c:smooth val="0"/>
        </c:ser>
        <c:hiLowLines>
          <c:spPr>
            <a:ln w="0">
              <a:noFill/>
            </a:ln>
          </c:spPr>
        </c:hiLowLines>
        <c:marker val="1"/>
        <c:axId val="97582126"/>
        <c:axId val="29730322"/>
      </c:lineChart>
      <c:catAx>
        <c:axId val="2506576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6746533"/>
        <c:crosses val="autoZero"/>
        <c:auto val="1"/>
        <c:lblAlgn val="ctr"/>
        <c:lblOffset val="100"/>
        <c:noMultiLvlLbl val="0"/>
      </c:catAx>
      <c:valAx>
        <c:axId val="36746533"/>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5065761"/>
        <c:crosses val="autoZero"/>
        <c:crossBetween val="between"/>
      </c:valAx>
      <c:catAx>
        <c:axId val="97582126"/>
        <c:scaling>
          <c:orientation val="minMax"/>
        </c:scaling>
        <c:delete val="0"/>
        <c:axPos val="t"/>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9730322"/>
        <c:crosses val="autoZero"/>
        <c:auto val="1"/>
        <c:lblAlgn val="ctr"/>
        <c:lblOffset val="100"/>
        <c:noMultiLvlLbl val="0"/>
      </c:catAx>
      <c:valAx>
        <c:axId val="29730322"/>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7582126"/>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Flux de trésorerie, FY2026F-FY2030F (M€)</a:t>
            </a:r>
          </a:p>
        </c:rich>
      </c:tx>
      <c:overlay val="0"/>
      <c:spPr>
        <a:noFill/>
        <a:ln w="0">
          <a:noFill/>
        </a:ln>
      </c:spPr>
    </c:title>
    <c:autoTitleDeleted val="0"/>
    <c:plotArea>
      <c:barChart>
        <c:barDir val="col"/>
        <c:grouping val="stacked"/>
        <c:varyColors val="0"/>
        <c:ser>
          <c:idx val="0"/>
          <c:order val="0"/>
          <c:tx>
            <c:strRef>
              <c:f>Dashboard!B13</c:f>
              <c:strCache>
                <c:ptCount val="1"/>
                <c:pt idx="0">
                  <c:v>Exploitation</c:v>
                </c:pt>
              </c:strCache>
            </c:strRef>
          </c:tx>
          <c:spPr>
            <a:solidFill>
              <a:srgbClr val="1f3864"/>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Dashboard!$C$12:$G$12</c:f>
              <c:strCache>
                <c:ptCount val="5"/>
                <c:pt idx="0">
                  <c:v>FY2026F</c:v>
                </c:pt>
                <c:pt idx="1">
                  <c:v>FY2027F</c:v>
                </c:pt>
                <c:pt idx="2">
                  <c:v>FY2028F</c:v>
                </c:pt>
                <c:pt idx="3">
                  <c:v>FY2029F</c:v>
                </c:pt>
                <c:pt idx="4">
                  <c:v>FY2030F</c:v>
                </c:pt>
              </c:strCache>
            </c:strRef>
          </c:cat>
          <c:val>
            <c:numRef>
              <c:f>Dashboard!$C$13:$G$13</c:f>
              <c:numCache>
                <c:formatCode>#,##0;\(#,##0\);\-</c:formatCode>
                <c:ptCount val="5"/>
                <c:pt idx="0">
                  <c:v>520.759</c:v>
                </c:pt>
                <c:pt idx="1">
                  <c:v>548.48658</c:v>
                </c:pt>
                <c:pt idx="2">
                  <c:v>572.8994479125</c:v>
                </c:pt>
                <c:pt idx="3">
                  <c:v>591.262583832</c:v>
                </c:pt>
                <c:pt idx="4">
                  <c:v>604.49858550864</c:v>
                </c:pt>
              </c:numCache>
            </c:numRef>
          </c:val>
        </c:ser>
        <c:ser>
          <c:idx val="1"/>
          <c:order val="1"/>
          <c:tx>
            <c:strRef>
              <c:f>Dashboard!B14</c:f>
              <c:strCache>
                <c:ptCount val="1"/>
                <c:pt idx="0">
                  <c:v>Investissement</c:v>
                </c:pt>
              </c:strCache>
            </c:strRef>
          </c:tx>
          <c:spPr>
            <a:solidFill>
              <a:srgbClr val="ed7d31"/>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Dashboard!$C$12:$G$12</c:f>
              <c:strCache>
                <c:ptCount val="5"/>
                <c:pt idx="0">
                  <c:v>FY2026F</c:v>
                </c:pt>
                <c:pt idx="1">
                  <c:v>FY2027F</c:v>
                </c:pt>
                <c:pt idx="2">
                  <c:v>FY2028F</c:v>
                </c:pt>
                <c:pt idx="3">
                  <c:v>FY2029F</c:v>
                </c:pt>
                <c:pt idx="4">
                  <c:v>FY2030F</c:v>
                </c:pt>
              </c:strCache>
            </c:strRef>
          </c:cat>
          <c:val>
            <c:numRef>
              <c:f>Dashboard!$C$14:$G$14</c:f>
              <c:numCache>
                <c:formatCode>#,##0;\(#,##0\);\-</c:formatCode>
                <c:ptCount val="5"/>
                <c:pt idx="0">
                  <c:v>-263.415</c:v>
                </c:pt>
                <c:pt idx="1">
                  <c:v>-268.6833</c:v>
                </c:pt>
                <c:pt idx="2">
                  <c:v>-274.056966</c:v>
                </c:pt>
                <c:pt idx="3">
                  <c:v>-279.53810532</c:v>
                </c:pt>
                <c:pt idx="4">
                  <c:v>-285.1288674264</c:v>
                </c:pt>
              </c:numCache>
            </c:numRef>
          </c:val>
        </c:ser>
        <c:ser>
          <c:idx val="2"/>
          <c:order val="2"/>
          <c:tx>
            <c:strRef>
              <c:f>Dashboard!B15</c:f>
              <c:strCache>
                <c:ptCount val="1"/>
                <c:pt idx="0">
                  <c:v>Financement</c:v>
                </c:pt>
              </c:strCache>
            </c:strRef>
          </c:tx>
          <c:spPr>
            <a:solidFill>
              <a:srgbClr val="a5a5a5"/>
            </a:solidFill>
            <a:ln w="0">
              <a:noFill/>
            </a:ln>
          </c:spPr>
          <c:invertIfNegative val="0"/>
          <c:dLbls>
            <c:numFmt formatCode="#,##0;\(#,##0\);\-" sourceLinked="1"/>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Dashboard!$C$12:$G$12</c:f>
              <c:strCache>
                <c:ptCount val="5"/>
                <c:pt idx="0">
                  <c:v>FY2026F</c:v>
                </c:pt>
                <c:pt idx="1">
                  <c:v>FY2027F</c:v>
                </c:pt>
                <c:pt idx="2">
                  <c:v>FY2028F</c:v>
                </c:pt>
                <c:pt idx="3">
                  <c:v>FY2029F</c:v>
                </c:pt>
                <c:pt idx="4">
                  <c:v>FY2030F</c:v>
                </c:pt>
              </c:strCache>
            </c:strRef>
          </c:cat>
          <c:val>
            <c:numRef>
              <c:f>Dashboard!$C$15:$G$15</c:f>
              <c:numCache>
                <c:formatCode>#,##0;\(#,##0\);\-</c:formatCode>
                <c:ptCount val="5"/>
                <c:pt idx="0">
                  <c:v>-468.5537</c:v>
                </c:pt>
                <c:pt idx="1">
                  <c:v>-368.473644</c:v>
                </c:pt>
                <c:pt idx="2">
                  <c:v>-186.15785477375</c:v>
                </c:pt>
                <c:pt idx="3">
                  <c:v>-29.1556089576</c:v>
                </c:pt>
                <c:pt idx="4">
                  <c:v>-30.161946136752</c:v>
                </c:pt>
              </c:numCache>
            </c:numRef>
          </c:val>
        </c:ser>
        <c:gapWidth val="150"/>
        <c:overlap val="100"/>
        <c:axId val="85334945"/>
        <c:axId val="18096949"/>
      </c:barChart>
      <c:lineChart>
        <c:grouping val="stacked"/>
        <c:varyColors val="0"/>
        <c:ser>
          <c:idx val="3"/>
          <c:order val="3"/>
          <c:tx>
            <c:strRef>
              <c:f>Dashboard!B16</c:f>
              <c:strCache>
                <c:ptCount val="1"/>
                <c:pt idx="0">
                  <c:v>Variation de trésorerie</c:v>
                </c:pt>
              </c:strCache>
            </c:strRef>
          </c:tx>
          <c:spPr>
            <a:solidFill>
              <a:srgbClr val="ffc000"/>
            </a:solidFill>
            <a:ln w="20160">
              <a:solidFill>
                <a:srgbClr val="ffc000"/>
              </a:solidFill>
              <a:round/>
            </a:ln>
          </c:spPr>
          <c:marker>
            <c:symbol val="circle"/>
            <c:size val="6"/>
            <c:spPr>
              <a:solidFill>
                <a:srgbClr val="ffc000"/>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Dashboard!$C$12:$G$12</c:f>
              <c:strCache>
                <c:ptCount val="5"/>
                <c:pt idx="0">
                  <c:v>FY2026F</c:v>
                </c:pt>
                <c:pt idx="1">
                  <c:v>FY2027F</c:v>
                </c:pt>
                <c:pt idx="2">
                  <c:v>FY2028F</c:v>
                </c:pt>
                <c:pt idx="3">
                  <c:v>FY2029F</c:v>
                </c:pt>
                <c:pt idx="4">
                  <c:v>FY2030F</c:v>
                </c:pt>
              </c:strCache>
            </c:strRef>
          </c:cat>
          <c:val>
            <c:numRef>
              <c:f>Dashboard!$C$16:$G$16</c:f>
              <c:numCache>
                <c:formatCode>#,##0;\(#,##0\);\-</c:formatCode>
                <c:ptCount val="5"/>
                <c:pt idx="0">
                  <c:v>-211.2097</c:v>
                </c:pt>
                <c:pt idx="1">
                  <c:v>-88.670364</c:v>
                </c:pt>
                <c:pt idx="2">
                  <c:v>112.68462713875</c:v>
                </c:pt>
                <c:pt idx="3">
                  <c:v>282.5688695544</c:v>
                </c:pt>
                <c:pt idx="4">
                  <c:v>289.207771945488</c:v>
                </c:pt>
              </c:numCache>
            </c:numRef>
          </c:val>
          <c:smooth val="0"/>
        </c:ser>
        <c:hiLowLines>
          <c:spPr>
            <a:ln w="0">
              <a:noFill/>
            </a:ln>
          </c:spPr>
        </c:hiLowLines>
        <c:marker val="1"/>
        <c:axId val="58969142"/>
        <c:axId val="97377216"/>
      </c:lineChart>
      <c:catAx>
        <c:axId val="8533494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8096949"/>
        <c:crosses val="autoZero"/>
        <c:auto val="1"/>
        <c:lblAlgn val="ctr"/>
        <c:lblOffset val="100"/>
        <c:noMultiLvlLbl val="0"/>
      </c:catAx>
      <c:valAx>
        <c:axId val="1809694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5334945"/>
        <c:crosses val="autoZero"/>
        <c:crossBetween val="between"/>
      </c:valAx>
      <c:catAx>
        <c:axId val="58969142"/>
        <c:scaling>
          <c:orientation val="minMax"/>
        </c:scaling>
        <c:delete val="0"/>
        <c:axPos val="t"/>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7377216"/>
        <c:crosses val="autoZero"/>
        <c:auto val="1"/>
        <c:lblAlgn val="ctr"/>
        <c:lblOffset val="100"/>
        <c:noMultiLvlLbl val="0"/>
      </c:catAx>
      <c:valAx>
        <c:axId val="97377216"/>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8969142"/>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Valeur par action : DCF vs cours de marché (€)</a:t>
            </a:r>
          </a:p>
        </c:rich>
      </c:tx>
      <c:overlay val="0"/>
      <c:spPr>
        <a:noFill/>
        <a:ln w="0">
          <a:noFill/>
        </a:ln>
      </c:spPr>
    </c:title>
    <c:autoTitleDeleted val="0"/>
    <c:plotArea>
      <c:barChart>
        <c:barDir val="col"/>
        <c:grouping val="clustered"/>
        <c:varyColors val="0"/>
        <c:ser>
          <c:idx val="0"/>
          <c:order val="0"/>
          <c:spPr>
            <a:solidFill>
              <a:srgbClr val="1f3864"/>
            </a:solidFill>
            <a:ln w="0">
              <a:noFill/>
            </a:ln>
          </c:spPr>
          <c:invertIfNegative val="0"/>
          <c:dLbls>
            <c:numFmt formatCode="0.00&quot; €&quot;"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Dashboard!$B$19:$B$20</c:f>
              <c:strCache>
                <c:ptCount val="2"/>
                <c:pt idx="0">
                  <c:v>Valeur par action implicite (DCF)</c:v>
                </c:pt>
                <c:pt idx="1">
                  <c:v>Cours de marché réel</c:v>
                </c:pt>
              </c:strCache>
            </c:strRef>
          </c:cat>
          <c:val>
            <c:numRef>
              <c:f>Dashboard!$C$19:$C$20</c:f>
              <c:numCache>
                <c:formatCode>0.00" €"</c:formatCode>
                <c:ptCount val="2"/>
                <c:pt idx="0">
                  <c:v>24.2109318482783</c:v>
                </c:pt>
                <c:pt idx="1">
                  <c:v>34.4</c:v>
                </c:pt>
              </c:numCache>
            </c:numRef>
          </c:val>
        </c:ser>
        <c:gapWidth val="150"/>
        <c:overlap val="0"/>
        <c:axId val="31722322"/>
        <c:axId val="14964606"/>
      </c:barChart>
      <c:catAx>
        <c:axId val="3172232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4964606"/>
        <c:crosses val="autoZero"/>
        <c:auto val="1"/>
        <c:lblAlgn val="ctr"/>
        <c:lblOffset val="100"/>
        <c:noMultiLvlLbl val="0"/>
      </c:catAx>
      <c:valAx>
        <c:axId val="14964606"/>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 action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172232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21</xdr:row>
      <xdr:rowOff>160920</xdr:rowOff>
    </xdr:from>
    <xdr:to>
      <xdr:col>6</xdr:col>
      <xdr:colOff>194760</xdr:colOff>
      <xdr:row>38</xdr:row>
      <xdr:rowOff>157680</xdr:rowOff>
    </xdr:to>
    <xdr:graphicFrame>
      <xdr:nvGraphicFramePr>
        <xdr:cNvPr id="0" name="Chart 1"/>
        <xdr:cNvGraphicFramePr/>
      </xdr:nvGraphicFramePr>
      <xdr:xfrm>
        <a:off x="611640" y="4190040"/>
        <a:ext cx="6115320" cy="3235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21</xdr:row>
      <xdr:rowOff>160920</xdr:rowOff>
    </xdr:from>
    <xdr:to>
      <xdr:col>18</xdr:col>
      <xdr:colOff>377640</xdr:colOff>
      <xdr:row>38</xdr:row>
      <xdr:rowOff>157680</xdr:rowOff>
    </xdr:to>
    <xdr:graphicFrame>
      <xdr:nvGraphicFramePr>
        <xdr:cNvPr id="1" name="Chart 2"/>
        <xdr:cNvGraphicFramePr/>
      </xdr:nvGraphicFramePr>
      <xdr:xfrm>
        <a:off x="9069840" y="4190040"/>
        <a:ext cx="6115320" cy="3235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40</xdr:row>
      <xdr:rowOff>160560</xdr:rowOff>
    </xdr:from>
    <xdr:to>
      <xdr:col>3</xdr:col>
      <xdr:colOff>212040</xdr:colOff>
      <xdr:row>57</xdr:row>
      <xdr:rowOff>157680</xdr:rowOff>
    </xdr:to>
    <xdr:graphicFrame>
      <xdr:nvGraphicFramePr>
        <xdr:cNvPr id="2" name="Chart 3"/>
        <xdr:cNvGraphicFramePr/>
      </xdr:nvGraphicFramePr>
      <xdr:xfrm>
        <a:off x="611640" y="7809120"/>
        <a:ext cx="3595320" cy="32356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00"/>
    <col collapsed="false" customWidth="true" hidden="false" outlineLevel="0" max="10" min="3" style="1" width="12"/>
  </cols>
  <sheetData>
    <row r="2" customFormat="false" ht="17.25" hidden="false" customHeight="true" outlineLevel="0" collapsed="false">
      <c r="B2" s="2" t="s">
        <v>0</v>
      </c>
    </row>
    <row r="3" customFormat="false" ht="15" hidden="false" customHeight="true" outlineLevel="0" collapsed="false">
      <c r="B3" s="3" t="s">
        <v>1</v>
      </c>
    </row>
    <row r="4" customFormat="false" ht="15" hidden="false" customHeight="true" outlineLevel="0" collapsed="false">
      <c r="B4" s="3" t="s">
        <v>2</v>
      </c>
    </row>
    <row r="6" customFormat="false" ht="15" hidden="false" customHeight="true" outlineLevel="0" collapsed="false">
      <c r="B6" s="4" t="s">
        <v>3</v>
      </c>
    </row>
    <row r="7" customFormat="false" ht="27.75" hidden="false" customHeight="true" outlineLevel="0" collapsed="false">
      <c r="B7" s="5" t="s">
        <v>4</v>
      </c>
      <c r="C7" s="5"/>
      <c r="D7" s="5"/>
      <c r="E7" s="5"/>
      <c r="F7" s="5"/>
      <c r="G7" s="5"/>
      <c r="H7" s="5"/>
      <c r="I7" s="5"/>
      <c r="J7" s="5"/>
    </row>
    <row r="9" customFormat="false" ht="15" hidden="false" customHeight="true" outlineLevel="0" collapsed="false">
      <c r="B9" s="4" t="s">
        <v>5</v>
      </c>
      <c r="C9" s="6"/>
      <c r="D9" s="6"/>
      <c r="E9" s="6"/>
      <c r="F9" s="6"/>
      <c r="G9" s="6"/>
      <c r="H9" s="6"/>
      <c r="I9" s="6"/>
      <c r="J9" s="6"/>
    </row>
    <row r="10" customFormat="false" ht="39" hidden="false" customHeight="true" outlineLevel="0" collapsed="false">
      <c r="B10" s="5" t="s">
        <v>6</v>
      </c>
      <c r="C10" s="5"/>
      <c r="D10" s="5"/>
      <c r="E10" s="5"/>
      <c r="F10" s="5"/>
      <c r="G10" s="5"/>
      <c r="H10" s="5"/>
      <c r="I10" s="5"/>
      <c r="J10" s="5"/>
    </row>
    <row r="13" customFormat="false" ht="15" hidden="false" customHeight="true" outlineLevel="0" collapsed="false">
      <c r="B13" s="4" t="s">
        <v>7</v>
      </c>
      <c r="C13" s="6"/>
      <c r="D13" s="6"/>
      <c r="E13" s="6"/>
      <c r="F13" s="6"/>
      <c r="G13" s="6"/>
      <c r="H13" s="6"/>
      <c r="I13" s="6"/>
      <c r="J13" s="6"/>
    </row>
    <row r="14" customFormat="false" ht="27.75" hidden="false" customHeight="true" outlineLevel="0" collapsed="false">
      <c r="B14" s="5" t="s">
        <v>8</v>
      </c>
      <c r="C14" s="5"/>
      <c r="D14" s="5"/>
      <c r="E14" s="5"/>
      <c r="F14" s="5"/>
      <c r="G14" s="5"/>
      <c r="H14" s="5"/>
      <c r="I14" s="5"/>
      <c r="J14" s="5"/>
    </row>
    <row r="17" customFormat="false" ht="15" hidden="false" customHeight="true" outlineLevel="0" collapsed="false">
      <c r="B17" s="4" t="s">
        <v>9</v>
      </c>
      <c r="C17" s="6"/>
      <c r="D17" s="6"/>
      <c r="E17" s="6"/>
      <c r="F17" s="6"/>
      <c r="G17" s="6"/>
      <c r="H17" s="6"/>
      <c r="I17" s="6"/>
      <c r="J17" s="6"/>
    </row>
    <row r="18" customFormat="false" ht="15" hidden="false" customHeight="true" outlineLevel="0" collapsed="false">
      <c r="B18" s="7" t="s">
        <v>10</v>
      </c>
      <c r="C18" s="8" t="s">
        <v>11</v>
      </c>
    </row>
    <row r="19" customFormat="false" ht="15" hidden="false" customHeight="true" outlineLevel="0" collapsed="false">
      <c r="B19" s="7" t="s">
        <v>12</v>
      </c>
      <c r="C19" s="8" t="s">
        <v>13</v>
      </c>
    </row>
    <row r="20" customFormat="false" ht="15" hidden="false" customHeight="true" outlineLevel="0" collapsed="false">
      <c r="B20" s="7" t="s">
        <v>14</v>
      </c>
      <c r="C20" s="8" t="s">
        <v>15</v>
      </c>
    </row>
    <row r="21" customFormat="false" ht="15" hidden="false" customHeight="true" outlineLevel="0" collapsed="false">
      <c r="B21" s="7" t="s">
        <v>16</v>
      </c>
      <c r="C21" s="8" t="s">
        <v>17</v>
      </c>
    </row>
    <row r="22" customFormat="false" ht="15" hidden="false" customHeight="true" outlineLevel="0" collapsed="false">
      <c r="B22" s="7" t="s">
        <v>18</v>
      </c>
      <c r="C22" s="8" t="s">
        <v>19</v>
      </c>
    </row>
    <row r="23" customFormat="false" ht="15" hidden="false" customHeight="true" outlineLevel="0" collapsed="false">
      <c r="B23" s="7" t="s">
        <v>20</v>
      </c>
      <c r="C23" s="8" t="s">
        <v>21</v>
      </c>
    </row>
    <row r="24" customFormat="false" ht="15" hidden="false" customHeight="true" outlineLevel="0" collapsed="false">
      <c r="B24" s="7" t="s">
        <v>22</v>
      </c>
      <c r="C24" s="8" t="s">
        <v>23</v>
      </c>
    </row>
    <row r="25" customFormat="false" ht="15" hidden="false" customHeight="true" outlineLevel="0" collapsed="false">
      <c r="B25" s="7" t="s">
        <v>24</v>
      </c>
      <c r="C25" s="8" t="s">
        <v>25</v>
      </c>
    </row>
    <row r="26" customFormat="false" ht="15" hidden="false" customHeight="true" outlineLevel="0" collapsed="false">
      <c r="B26" s="7" t="s">
        <v>26</v>
      </c>
      <c r="C26" s="8" t="s">
        <v>27</v>
      </c>
    </row>
    <row r="27" customFormat="false" ht="15" hidden="false" customHeight="true" outlineLevel="0" collapsed="false">
      <c r="B27" s="7" t="s">
        <v>28</v>
      </c>
      <c r="C27" s="8" t="s">
        <v>29</v>
      </c>
    </row>
    <row r="28" customFormat="false" ht="15" hidden="false" customHeight="true" outlineLevel="0" collapsed="false">
      <c r="B28" s="7" t="s">
        <v>30</v>
      </c>
      <c r="C28" s="8" t="s">
        <v>31</v>
      </c>
    </row>
    <row r="30" customFormat="false" ht="15" hidden="false" customHeight="true" outlineLevel="0" collapsed="false">
      <c r="B30" s="4" t="s">
        <v>32</v>
      </c>
      <c r="C30" s="6"/>
      <c r="D30" s="6"/>
      <c r="E30" s="6"/>
      <c r="F30" s="6"/>
      <c r="G30" s="6"/>
      <c r="H30" s="6"/>
      <c r="I30" s="6"/>
      <c r="J30" s="6"/>
    </row>
    <row r="31" customFormat="false" ht="15" hidden="false" customHeight="true" outlineLevel="0" collapsed="false">
      <c r="B31" s="8" t="s">
        <v>33</v>
      </c>
    </row>
    <row r="32" customFormat="false" ht="15" hidden="false" customHeight="true" outlineLevel="0" collapsed="false">
      <c r="B32" s="8" t="s">
        <v>34</v>
      </c>
    </row>
    <row r="33" customFormat="false" ht="15" hidden="false" customHeight="true" outlineLevel="0" collapsed="false">
      <c r="B33" s="8" t="s">
        <v>35</v>
      </c>
    </row>
    <row r="34" customFormat="false" ht="15" hidden="false" customHeight="true" outlineLevel="0" collapsed="false">
      <c r="B34" s="8" t="s">
        <v>36</v>
      </c>
    </row>
    <row r="35" customFormat="false" ht="15" hidden="false" customHeight="true" outlineLevel="0" collapsed="false">
      <c r="B35" s="8" t="s">
        <v>37</v>
      </c>
    </row>
  </sheetData>
  <mergeCells count="3">
    <mergeCell ref="B7:J7"/>
    <mergeCell ref="B10:J10"/>
    <mergeCell ref="B14:J14"/>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8"/>
    <col collapsed="false" customWidth="true" hidden="false" outlineLevel="0" max="3" min="3" style="1" width="14"/>
    <col collapsed="false" customWidth="true" hidden="false" outlineLevel="0" max="4" min="4" style="1" width="3"/>
    <col collapsed="false" customWidth="true" hidden="false" outlineLevel="0" max="5" min="5" style="1" width="70"/>
    <col collapsed="false" customWidth="true" hidden="false" outlineLevel="0" max="10" min="6" style="1" width="13"/>
  </cols>
  <sheetData>
    <row r="2" customFormat="false" ht="17.25" hidden="false" customHeight="true" outlineLevel="0" collapsed="false">
      <c r="B2" s="9" t="s">
        <v>38</v>
      </c>
      <c r="C2" s="9"/>
      <c r="D2" s="9"/>
      <c r="E2" s="9"/>
      <c r="F2" s="9"/>
    </row>
    <row r="3" customFormat="false" ht="15" hidden="false" customHeight="true" outlineLevel="0" collapsed="false">
      <c r="B3" s="10" t="s">
        <v>2</v>
      </c>
    </row>
    <row r="5" customFormat="false" ht="15" hidden="false" customHeight="true" outlineLevel="0" collapsed="false">
      <c r="B5" s="4" t="s">
        <v>39</v>
      </c>
      <c r="C5" s="6"/>
      <c r="D5" s="6"/>
      <c r="E5" s="6"/>
    </row>
    <row r="6" customFormat="false" ht="16.5" hidden="false" customHeight="true" outlineLevel="0" collapsed="false">
      <c r="B6" s="3" t="s">
        <v>40</v>
      </c>
      <c r="C6" s="11" t="n">
        <v>1104</v>
      </c>
      <c r="E6" s="5" t="s">
        <v>41</v>
      </c>
      <c r="F6" s="5"/>
      <c r="G6" s="5"/>
      <c r="H6" s="5"/>
      <c r="I6" s="5"/>
      <c r="J6" s="5"/>
    </row>
    <row r="7" customFormat="false" ht="16.5" hidden="false" customHeight="true" outlineLevel="0" collapsed="false">
      <c r="B7" s="3" t="s">
        <v>42</v>
      </c>
      <c r="C7" s="11" t="n">
        <v>349</v>
      </c>
      <c r="E7" s="5" t="s">
        <v>43</v>
      </c>
      <c r="F7" s="5"/>
      <c r="G7" s="5"/>
      <c r="H7" s="5"/>
      <c r="I7" s="5"/>
      <c r="J7" s="5"/>
    </row>
    <row r="8" customFormat="false" ht="16.5" hidden="false" customHeight="true" outlineLevel="0" collapsed="false">
      <c r="B8" s="3" t="s">
        <v>44</v>
      </c>
      <c r="C8" s="11" t="n">
        <v>1333</v>
      </c>
      <c r="E8" s="5" t="s">
        <v>43</v>
      </c>
      <c r="F8" s="5"/>
      <c r="G8" s="5"/>
      <c r="H8" s="5"/>
      <c r="I8" s="5"/>
      <c r="J8" s="5"/>
    </row>
    <row r="9" customFormat="false" ht="16.5" hidden="false" customHeight="true" outlineLevel="0" collapsed="false">
      <c r="B9" s="3" t="s">
        <v>45</v>
      </c>
      <c r="C9" s="11" t="n">
        <v>3493</v>
      </c>
      <c r="E9" s="5" t="s">
        <v>43</v>
      </c>
      <c r="F9" s="5"/>
      <c r="G9" s="5"/>
      <c r="H9" s="5"/>
      <c r="I9" s="5"/>
      <c r="J9" s="5"/>
    </row>
    <row r="10" customFormat="false" ht="16.5" hidden="false" customHeight="true" outlineLevel="0" collapsed="false">
      <c r="B10" s="3" t="s">
        <v>46</v>
      </c>
      <c r="C10" s="11" t="n">
        <v>2264</v>
      </c>
      <c r="E10" s="5" t="s">
        <v>43</v>
      </c>
      <c r="F10" s="5"/>
      <c r="G10" s="5"/>
      <c r="H10" s="5"/>
      <c r="I10" s="5"/>
      <c r="J10" s="5"/>
    </row>
    <row r="11" customFormat="false" ht="16.5" hidden="false" customHeight="true" outlineLevel="0" collapsed="false">
      <c r="B11" s="3" t="s">
        <v>47</v>
      </c>
      <c r="C11" s="11" t="n">
        <v>1297</v>
      </c>
      <c r="E11" s="5" t="s">
        <v>43</v>
      </c>
      <c r="F11" s="5"/>
      <c r="G11" s="5"/>
      <c r="H11" s="5"/>
      <c r="I11" s="5"/>
      <c r="J11" s="5"/>
    </row>
    <row r="12" customFormat="false" ht="16.5" hidden="false" customHeight="true" outlineLevel="0" collapsed="false">
      <c r="B12" s="3" t="s">
        <v>48</v>
      </c>
      <c r="C12" s="11" t="n">
        <v>3135</v>
      </c>
      <c r="E12" s="5" t="s">
        <v>43</v>
      </c>
      <c r="F12" s="5"/>
      <c r="G12" s="5"/>
      <c r="H12" s="5"/>
      <c r="I12" s="5"/>
      <c r="J12" s="5"/>
    </row>
    <row r="13" customFormat="false" ht="16.5" hidden="false" customHeight="true" outlineLevel="0" collapsed="false">
      <c r="B13" s="3" t="s">
        <v>49</v>
      </c>
      <c r="C13" s="11" t="n">
        <v>958</v>
      </c>
      <c r="E13" s="5" t="s">
        <v>50</v>
      </c>
      <c r="F13" s="5"/>
      <c r="G13" s="5"/>
      <c r="H13" s="5"/>
      <c r="I13" s="5"/>
      <c r="J13" s="5"/>
    </row>
    <row r="14" customFormat="false" ht="16.5" hidden="false" customHeight="true" outlineLevel="0" collapsed="false">
      <c r="B14" s="3" t="s">
        <v>51</v>
      </c>
      <c r="C14" s="11" t="n">
        <v>1577</v>
      </c>
      <c r="E14" s="5" t="s">
        <v>43</v>
      </c>
      <c r="F14" s="5"/>
      <c r="G14" s="5"/>
      <c r="H14" s="5"/>
      <c r="I14" s="5"/>
      <c r="J14" s="5"/>
    </row>
    <row r="15" customFormat="false" ht="16.5" hidden="false" customHeight="true" outlineLevel="0" collapsed="false">
      <c r="B15" s="3" t="s">
        <v>52</v>
      </c>
      <c r="C15" s="11" t="n">
        <v>1576</v>
      </c>
      <c r="E15" s="5" t="s">
        <v>53</v>
      </c>
      <c r="F15" s="5"/>
      <c r="G15" s="5"/>
      <c r="H15" s="5"/>
      <c r="I15" s="5"/>
      <c r="J15" s="5"/>
    </row>
    <row r="17" customFormat="false" ht="15" hidden="false" customHeight="true" outlineLevel="0" collapsed="false">
      <c r="B17" s="3" t="s">
        <v>54</v>
      </c>
      <c r="C17" s="12" t="n">
        <f aca="false">SUM(C6:C10)</f>
        <v>8543</v>
      </c>
    </row>
    <row r="18" customFormat="false" ht="15" hidden="false" customHeight="true" outlineLevel="0" collapsed="false">
      <c r="B18" s="3" t="s">
        <v>55</v>
      </c>
      <c r="C18" s="12" t="n">
        <f aca="false">SUM(C11:C15)</f>
        <v>8543</v>
      </c>
    </row>
    <row r="19" customFormat="false" ht="27.75" hidden="false" customHeight="true" outlineLevel="0" collapsed="false">
      <c r="B19" s="7" t="s">
        <v>56</v>
      </c>
      <c r="C19" s="13" t="n">
        <f aca="false">C17-C18</f>
        <v>0</v>
      </c>
      <c r="E19" s="5" t="s">
        <v>57</v>
      </c>
      <c r="F19" s="5"/>
      <c r="G19" s="5"/>
      <c r="H19" s="5"/>
      <c r="I19" s="5"/>
      <c r="J19" s="5"/>
    </row>
    <row r="21" customFormat="false" ht="15" hidden="false" customHeight="true" outlineLevel="0" collapsed="false">
      <c r="B21" s="4" t="s">
        <v>58</v>
      </c>
      <c r="C21" s="6"/>
      <c r="D21" s="6"/>
      <c r="E21" s="6"/>
    </row>
    <row r="22" customFormat="false" ht="16.5" hidden="false" customHeight="true" outlineLevel="0" collapsed="false">
      <c r="B22" s="3" t="s">
        <v>59</v>
      </c>
      <c r="C22" s="14" t="n">
        <v>0.02</v>
      </c>
      <c r="E22" s="5" t="s">
        <v>60</v>
      </c>
      <c r="F22" s="5"/>
      <c r="G22" s="5"/>
      <c r="H22" s="5"/>
      <c r="I22" s="5"/>
      <c r="J22" s="5"/>
    </row>
    <row r="23" customFormat="false" ht="16.5" hidden="false" customHeight="true" outlineLevel="0" collapsed="false">
      <c r="B23" s="3" t="s">
        <v>61</v>
      </c>
      <c r="C23" s="14" t="n">
        <v>0.02</v>
      </c>
      <c r="E23" s="5" t="s">
        <v>62</v>
      </c>
      <c r="F23" s="5"/>
      <c r="G23" s="5"/>
      <c r="H23" s="5"/>
      <c r="I23" s="5"/>
      <c r="J23" s="5"/>
    </row>
    <row r="24" customFormat="false" ht="16.5" hidden="false" customHeight="true" outlineLevel="0" collapsed="false">
      <c r="B24" s="3" t="s">
        <v>63</v>
      </c>
      <c r="C24" s="15" t="n">
        <f aca="false">'Income Statement'!E8/'Income Statement'!E6</f>
        <v>0.044917715392062</v>
      </c>
      <c r="E24" s="5" t="s">
        <v>64</v>
      </c>
      <c r="F24" s="5"/>
      <c r="G24" s="5"/>
      <c r="H24" s="5"/>
      <c r="I24" s="5"/>
      <c r="J24" s="5"/>
    </row>
    <row r="25" customFormat="false" ht="16.5" hidden="false" customHeight="true" outlineLevel="0" collapsed="false">
      <c r="B25" s="3" t="s">
        <v>65</v>
      </c>
      <c r="C25" s="14" t="n">
        <v>0.025</v>
      </c>
      <c r="E25" s="5" t="s">
        <v>66</v>
      </c>
      <c r="F25" s="5"/>
      <c r="G25" s="5"/>
      <c r="H25" s="5"/>
      <c r="I25" s="5"/>
      <c r="J25" s="5"/>
    </row>
    <row r="26" customFormat="false" ht="16.5" hidden="false" customHeight="true" outlineLevel="0" collapsed="false">
      <c r="B26" s="3" t="s">
        <v>67</v>
      </c>
      <c r="C26" s="16" t="n">
        <f aca="false">C7/'Income Statement'!$E$6*365</f>
        <v>12.3315585672798</v>
      </c>
      <c r="E26" s="5" t="s">
        <v>68</v>
      </c>
      <c r="F26" s="5"/>
      <c r="G26" s="5"/>
      <c r="H26" s="5"/>
      <c r="I26" s="5"/>
      <c r="J26" s="5"/>
    </row>
    <row r="27" customFormat="false" ht="16.5" hidden="false" customHeight="true" outlineLevel="0" collapsed="false">
      <c r="B27" s="3" t="s">
        <v>69</v>
      </c>
      <c r="C27" s="16" t="n">
        <f aca="false">C8/'Income Statement'!$E$6*365</f>
        <v>47.1001936108422</v>
      </c>
      <c r="E27" s="5" t="s">
        <v>70</v>
      </c>
      <c r="F27" s="5"/>
      <c r="G27" s="5"/>
      <c r="H27" s="5"/>
      <c r="I27" s="5"/>
      <c r="J27" s="5"/>
    </row>
    <row r="28" customFormat="false" ht="16.5" hidden="false" customHeight="true" outlineLevel="0" collapsed="false">
      <c r="B28" s="3" t="s">
        <v>71</v>
      </c>
      <c r="C28" s="16" t="n">
        <f aca="false">C11/'Income Statement'!$E$6*365</f>
        <v>45.8281703775412</v>
      </c>
      <c r="E28" s="5" t="s">
        <v>72</v>
      </c>
      <c r="F28" s="5"/>
      <c r="G28" s="5"/>
      <c r="H28" s="5"/>
      <c r="I28" s="5"/>
      <c r="J28" s="5"/>
    </row>
    <row r="29" customFormat="false" ht="16.5" hidden="false" customHeight="true" outlineLevel="0" collapsed="false">
      <c r="B29" s="3" t="s">
        <v>73</v>
      </c>
      <c r="C29" s="14" t="n">
        <v>0.25</v>
      </c>
      <c r="E29" s="5" t="s">
        <v>74</v>
      </c>
      <c r="F29" s="5"/>
      <c r="G29" s="5"/>
      <c r="H29" s="5"/>
      <c r="I29" s="5"/>
      <c r="J29" s="5"/>
    </row>
    <row r="30" customFormat="false" ht="16.5" hidden="false" customHeight="true" outlineLevel="0" collapsed="false">
      <c r="B30" s="3" t="s">
        <v>75</v>
      </c>
      <c r="C30" s="17" t="n">
        <v>0.045</v>
      </c>
      <c r="E30" s="5" t="s">
        <v>76</v>
      </c>
      <c r="F30" s="5"/>
      <c r="G30" s="5"/>
      <c r="H30" s="5"/>
      <c r="I30" s="5"/>
      <c r="J30" s="5"/>
    </row>
    <row r="31" customFormat="false" ht="16.5" hidden="false" customHeight="true" outlineLevel="0" collapsed="false">
      <c r="B31" s="3" t="s">
        <v>77</v>
      </c>
      <c r="C31" s="17" t="n">
        <v>0.03</v>
      </c>
      <c r="E31" s="5" t="s">
        <v>78</v>
      </c>
      <c r="F31" s="5"/>
      <c r="G31" s="5"/>
      <c r="H31" s="5"/>
      <c r="I31" s="5"/>
      <c r="J31" s="5"/>
    </row>
    <row r="32" customFormat="false" ht="27.75" hidden="false" customHeight="true" outlineLevel="0" collapsed="false">
      <c r="B32" s="3" t="s">
        <v>79</v>
      </c>
      <c r="C32" s="11" t="n">
        <v>100</v>
      </c>
      <c r="E32" s="5" t="s">
        <v>80</v>
      </c>
      <c r="F32" s="5"/>
      <c r="G32" s="5"/>
      <c r="H32" s="5"/>
      <c r="I32" s="5"/>
      <c r="J32" s="5"/>
    </row>
    <row r="33" customFormat="false" ht="16.5" hidden="false" customHeight="true" outlineLevel="0" collapsed="false">
      <c r="B33" s="3" t="s">
        <v>81</v>
      </c>
      <c r="C33" s="11" t="n">
        <v>400</v>
      </c>
      <c r="E33" s="5" t="s">
        <v>82</v>
      </c>
      <c r="F33" s="5"/>
      <c r="G33" s="5"/>
      <c r="H33" s="5"/>
      <c r="I33" s="5"/>
      <c r="J33" s="5"/>
    </row>
    <row r="34" customFormat="false" ht="16.5" hidden="false" customHeight="true" outlineLevel="0" collapsed="false">
      <c r="B34" s="3" t="s">
        <v>83</v>
      </c>
      <c r="C34" s="14" t="n">
        <v>0.5</v>
      </c>
      <c r="E34" s="5" t="s">
        <v>84</v>
      </c>
      <c r="F34" s="5"/>
      <c r="G34" s="5"/>
      <c r="H34" s="5"/>
      <c r="I34" s="5"/>
      <c r="J34" s="5"/>
    </row>
    <row r="35" customFormat="false" ht="16.5" hidden="false" customHeight="true" outlineLevel="0" collapsed="false">
      <c r="B35" s="3" t="s">
        <v>85</v>
      </c>
      <c r="C35" s="14" t="n">
        <v>0.3</v>
      </c>
      <c r="E35" s="5" t="s">
        <v>78</v>
      </c>
      <c r="F35" s="5"/>
      <c r="G35" s="5"/>
      <c r="H35" s="5"/>
      <c r="I35" s="5"/>
      <c r="J35" s="5"/>
    </row>
    <row r="37" customFormat="false" ht="15" hidden="false" customHeight="true" outlineLevel="0" collapsed="false">
      <c r="B37" s="4" t="s">
        <v>86</v>
      </c>
      <c r="C37" s="6"/>
      <c r="D37" s="6"/>
      <c r="E37" s="6"/>
    </row>
    <row r="38" customFormat="false" ht="16.5" hidden="false" customHeight="true" outlineLevel="0" collapsed="false">
      <c r="B38" s="3" t="s">
        <v>87</v>
      </c>
      <c r="C38" s="18" t="n">
        <v>34.4</v>
      </c>
      <c r="E38" s="5" t="s">
        <v>88</v>
      </c>
      <c r="F38" s="5"/>
      <c r="G38" s="5"/>
      <c r="H38" s="5"/>
      <c r="I38" s="5"/>
      <c r="J38" s="5"/>
    </row>
    <row r="39" customFormat="false" ht="16.5" hidden="false" customHeight="true" outlineLevel="0" collapsed="false">
      <c r="B39" s="3" t="s">
        <v>89</v>
      </c>
      <c r="C39" s="19" t="n">
        <v>29.37</v>
      </c>
      <c r="E39" s="5" t="s">
        <v>90</v>
      </c>
      <c r="F39" s="5"/>
      <c r="G39" s="5"/>
      <c r="H39" s="5"/>
      <c r="I39" s="5"/>
      <c r="J39" s="5"/>
    </row>
    <row r="40" customFormat="false" ht="15" hidden="false" customHeight="true" outlineLevel="0" collapsed="false">
      <c r="B40" s="3" t="s">
        <v>91</v>
      </c>
      <c r="C40" s="12" t="n">
        <f aca="false">C38*C39</f>
        <v>1010.328</v>
      </c>
    </row>
    <row r="41" customFormat="false" ht="15" hidden="false" customHeight="true" outlineLevel="0" collapsed="false">
      <c r="B41" s="3" t="s">
        <v>92</v>
      </c>
      <c r="C41" s="12" t="n">
        <f aca="false">C13</f>
        <v>958</v>
      </c>
    </row>
    <row r="42" customFormat="false" ht="15" hidden="false" customHeight="true" outlineLevel="0" collapsed="false">
      <c r="B42" s="3" t="s">
        <v>93</v>
      </c>
      <c r="C42" s="12" t="n">
        <f aca="false">C6</f>
        <v>1104</v>
      </c>
    </row>
    <row r="43" customFormat="false" ht="16.5" hidden="false" customHeight="true" outlineLevel="0" collapsed="false">
      <c r="B43" s="3" t="s">
        <v>94</v>
      </c>
      <c r="C43" s="12" t="n">
        <f aca="false">C41-C42</f>
        <v>-146</v>
      </c>
      <c r="E43" s="5" t="s">
        <v>95</v>
      </c>
      <c r="F43" s="5"/>
      <c r="G43" s="5"/>
      <c r="H43" s="5"/>
      <c r="I43" s="5"/>
      <c r="J43" s="5"/>
    </row>
    <row r="44" customFormat="false" ht="16.5" hidden="false" customHeight="true" outlineLevel="0" collapsed="false">
      <c r="B44" s="3" t="s">
        <v>96</v>
      </c>
      <c r="C44" s="11" t="n">
        <v>667</v>
      </c>
      <c r="E44" s="5" t="s">
        <v>97</v>
      </c>
      <c r="F44" s="5"/>
      <c r="G44" s="5"/>
      <c r="H44" s="5"/>
      <c r="I44" s="5"/>
      <c r="J44" s="5"/>
    </row>
    <row r="45" customFormat="false" ht="15" hidden="false" customHeight="true" outlineLevel="0" collapsed="false">
      <c r="B45" s="3" t="s">
        <v>98</v>
      </c>
      <c r="C45" s="12" t="n">
        <f aca="false">C40+C43</f>
        <v>864.328</v>
      </c>
    </row>
    <row r="46" customFormat="false" ht="16.5" hidden="false" customHeight="true" outlineLevel="0" collapsed="false">
      <c r="B46" s="3" t="s">
        <v>99</v>
      </c>
      <c r="C46" s="20" t="n">
        <f aca="false">C45/C44</f>
        <v>1.29584407796102</v>
      </c>
      <c r="E46" s="5" t="s">
        <v>100</v>
      </c>
      <c r="F46" s="5"/>
      <c r="G46" s="5"/>
      <c r="H46" s="5"/>
      <c r="I46" s="5"/>
      <c r="J46" s="5"/>
    </row>
    <row r="48" customFormat="false" ht="15" hidden="false" customHeight="true" outlineLevel="0" collapsed="false">
      <c r="B48" s="4" t="s">
        <v>101</v>
      </c>
      <c r="C48" s="6"/>
      <c r="D48" s="6"/>
      <c r="E48" s="6"/>
    </row>
    <row r="49" customFormat="false" ht="16.5" hidden="false" customHeight="true" outlineLevel="0" collapsed="false">
      <c r="B49" s="3" t="s">
        <v>102</v>
      </c>
      <c r="C49" s="19" t="n">
        <v>1.07</v>
      </c>
      <c r="E49" s="5" t="s">
        <v>103</v>
      </c>
      <c r="F49" s="5"/>
      <c r="G49" s="5"/>
      <c r="H49" s="5"/>
      <c r="I49" s="5"/>
      <c r="J49" s="5"/>
    </row>
    <row r="50" customFormat="false" ht="16.5" hidden="false" customHeight="true" outlineLevel="0" collapsed="false">
      <c r="B50" s="3" t="s">
        <v>104</v>
      </c>
      <c r="C50" s="17" t="n">
        <v>0.0491</v>
      </c>
      <c r="E50" s="5" t="s">
        <v>105</v>
      </c>
      <c r="F50" s="5"/>
      <c r="G50" s="5"/>
      <c r="H50" s="5"/>
      <c r="I50" s="5"/>
      <c r="J50" s="5"/>
    </row>
    <row r="51" customFormat="false" ht="16.5" hidden="false" customHeight="true" outlineLevel="0" collapsed="false">
      <c r="B51" s="3" t="s">
        <v>106</v>
      </c>
      <c r="C51" s="14" t="n">
        <v>0.05</v>
      </c>
      <c r="E51" s="5" t="s">
        <v>107</v>
      </c>
      <c r="F51" s="5"/>
      <c r="G51" s="5"/>
      <c r="H51" s="5"/>
      <c r="I51" s="5"/>
      <c r="J51" s="5"/>
    </row>
    <row r="52" customFormat="false" ht="15" hidden="false" customHeight="true" outlineLevel="0" collapsed="false">
      <c r="B52" s="7" t="s">
        <v>108</v>
      </c>
      <c r="C52" s="15" t="n">
        <f aca="false">C50+C49*C51</f>
        <v>0.1026</v>
      </c>
    </row>
    <row r="53" customFormat="false" ht="16.5" hidden="false" customHeight="true" outlineLevel="0" collapsed="false">
      <c r="B53" s="3" t="s">
        <v>109</v>
      </c>
      <c r="C53" s="17" t="n">
        <v>0.0475</v>
      </c>
      <c r="E53" s="5" t="s">
        <v>110</v>
      </c>
      <c r="F53" s="5"/>
      <c r="G53" s="5"/>
      <c r="H53" s="5"/>
      <c r="I53" s="5"/>
      <c r="J53" s="5"/>
    </row>
    <row r="54" customFormat="false" ht="15" hidden="false" customHeight="true" outlineLevel="0" collapsed="false">
      <c r="B54" s="3" t="s">
        <v>111</v>
      </c>
      <c r="C54" s="15" t="n">
        <f aca="false">C53*(1-C29)</f>
        <v>0.035625</v>
      </c>
    </row>
    <row r="55" customFormat="false" ht="15" hidden="false" customHeight="true" outlineLevel="0" collapsed="false">
      <c r="B55" s="3" t="s">
        <v>112</v>
      </c>
      <c r="C55" s="21" t="n">
        <f aca="false">C40/(C40+C41)</f>
        <v>0.513292500030483</v>
      </c>
    </row>
    <row r="56" customFormat="false" ht="16.5" hidden="false" customHeight="true" outlineLevel="0" collapsed="false">
      <c r="B56" s="3" t="s">
        <v>113</v>
      </c>
      <c r="C56" s="21" t="n">
        <f aca="false">C41/(C40+C41)</f>
        <v>0.486707499969517</v>
      </c>
      <c r="E56" s="5" t="s">
        <v>114</v>
      </c>
      <c r="F56" s="5"/>
      <c r="G56" s="5"/>
      <c r="H56" s="5"/>
      <c r="I56" s="5"/>
      <c r="J56" s="5"/>
    </row>
    <row r="57" customFormat="false" ht="15" hidden="false" customHeight="true" outlineLevel="0" collapsed="false">
      <c r="B57" s="7" t="s">
        <v>115</v>
      </c>
      <c r="C57" s="22" t="n">
        <f aca="false">C55*C52+C56*C54</f>
        <v>0.0700027651895416</v>
      </c>
    </row>
    <row r="58" customFormat="false" ht="16.5" hidden="false" customHeight="true" outlineLevel="0" collapsed="false">
      <c r="B58" s="3" t="s">
        <v>116</v>
      </c>
      <c r="C58" s="14" t="n">
        <v>0.015</v>
      </c>
      <c r="E58" s="5" t="s">
        <v>117</v>
      </c>
      <c r="F58" s="5"/>
      <c r="G58" s="5"/>
      <c r="H58" s="5"/>
      <c r="I58" s="5"/>
      <c r="J58" s="5"/>
    </row>
    <row r="60" customFormat="false" ht="15" hidden="false" customHeight="true" outlineLevel="0" collapsed="false">
      <c r="B60" s="4" t="s">
        <v>118</v>
      </c>
      <c r="C60" s="6"/>
      <c r="D60" s="6"/>
      <c r="E60" s="6"/>
    </row>
    <row r="61" customFormat="false" ht="27.75" hidden="false" customHeight="true" outlineLevel="0" collapsed="false">
      <c r="B61" s="3" t="s">
        <v>119</v>
      </c>
      <c r="C61" s="12" t="n">
        <f aca="false">C13+C12-C6</f>
        <v>2989</v>
      </c>
      <c r="E61" s="5" t="s">
        <v>120</v>
      </c>
      <c r="F61" s="5"/>
      <c r="G61" s="5"/>
      <c r="H61" s="5"/>
      <c r="I61" s="5"/>
      <c r="J61" s="5"/>
    </row>
    <row r="62" customFormat="false" ht="15" hidden="false" customHeight="true" outlineLevel="0" collapsed="false">
      <c r="B62" s="3" t="s">
        <v>121</v>
      </c>
      <c r="C62" s="12" t="n">
        <f aca="false">C40+C61</f>
        <v>3999.328</v>
      </c>
    </row>
    <row r="63" customFormat="false" ht="27.75" hidden="false" customHeight="true" outlineLevel="0" collapsed="false">
      <c r="B63" s="3" t="s">
        <v>122</v>
      </c>
      <c r="C63" s="20" t="n">
        <f aca="false">C62/C44</f>
        <v>5.9959940029985</v>
      </c>
      <c r="E63" s="5" t="s">
        <v>123</v>
      </c>
      <c r="F63" s="5"/>
      <c r="G63" s="5"/>
      <c r="H63" s="5"/>
      <c r="I63" s="5"/>
      <c r="J63" s="5"/>
    </row>
  </sheetData>
  <mergeCells count="39">
    <mergeCell ref="B2:F2"/>
    <mergeCell ref="E6:J6"/>
    <mergeCell ref="E7:J7"/>
    <mergeCell ref="E8:J8"/>
    <mergeCell ref="E9:J9"/>
    <mergeCell ref="E10:J10"/>
    <mergeCell ref="E11:J11"/>
    <mergeCell ref="E12:J12"/>
    <mergeCell ref="E13:J13"/>
    <mergeCell ref="E14:J14"/>
    <mergeCell ref="E15:J15"/>
    <mergeCell ref="E19:J19"/>
    <mergeCell ref="E22:J22"/>
    <mergeCell ref="E23:J23"/>
    <mergeCell ref="E24:J24"/>
    <mergeCell ref="E25:J25"/>
    <mergeCell ref="E26:J26"/>
    <mergeCell ref="E27:J27"/>
    <mergeCell ref="E28:J28"/>
    <mergeCell ref="E29:J29"/>
    <mergeCell ref="E30:J30"/>
    <mergeCell ref="E31:J31"/>
    <mergeCell ref="E32:J32"/>
    <mergeCell ref="E33:J33"/>
    <mergeCell ref="E34:J34"/>
    <mergeCell ref="E35:J35"/>
    <mergeCell ref="E38:J38"/>
    <mergeCell ref="E39:J39"/>
    <mergeCell ref="E43:J43"/>
    <mergeCell ref="E44:J44"/>
    <mergeCell ref="E46:J46"/>
    <mergeCell ref="E49:J49"/>
    <mergeCell ref="E50:J50"/>
    <mergeCell ref="E51:J51"/>
    <mergeCell ref="E53:J53"/>
    <mergeCell ref="E56:J56"/>
    <mergeCell ref="E58:J58"/>
    <mergeCell ref="E61:J61"/>
    <mergeCell ref="E63:J63"/>
  </mergeCells>
  <conditionalFormatting sqref="C19">
    <cfRule type="expression" priority="2" aboveAverage="0" equalAverage="0" bottom="0" percent="0" rank="0" text="" dxfId="0">
      <formula>ROUND(C19,1)=0</formula>
    </cfRule>
    <cfRule type="expression" priority="3" aboveAverage="0" equalAverage="0" bottom="0" percent="0" rank="0" text="" dxfId="1">
      <formula>ROUND(C19,1)&lt;&gt;0</formula>
    </cfRule>
  </conditionalFormatting>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46"/>
    <col collapsed="false" customWidth="true" hidden="false" outlineLevel="0" max="10" min="3" style="1" width="12"/>
  </cols>
  <sheetData>
    <row r="2" customFormat="false" ht="17.25" hidden="false" customHeight="true" outlineLevel="0" collapsed="false">
      <c r="B2" s="9" t="s">
        <v>124</v>
      </c>
      <c r="C2" s="9"/>
      <c r="D2" s="9"/>
      <c r="E2" s="9"/>
      <c r="F2" s="9"/>
    </row>
    <row r="3" customFormat="false" ht="15" hidden="false" customHeight="true" outlineLevel="0" collapsed="false">
      <c r="B3" s="10" t="s">
        <v>125</v>
      </c>
    </row>
    <row r="5" customFormat="false" ht="15" hidden="false" customHeight="true" outlineLevel="0" collapsed="false">
      <c r="C5" s="23" t="s">
        <v>126</v>
      </c>
      <c r="D5" s="23" t="s">
        <v>127</v>
      </c>
      <c r="E5" s="23" t="s">
        <v>128</v>
      </c>
      <c r="F5" s="23" t="s">
        <v>129</v>
      </c>
      <c r="G5" s="23" t="s">
        <v>130</v>
      </c>
      <c r="H5" s="23" t="s">
        <v>131</v>
      </c>
      <c r="I5" s="23" t="s">
        <v>132</v>
      </c>
      <c r="J5" s="23" t="s">
        <v>133</v>
      </c>
    </row>
    <row r="6" customFormat="false" ht="15" hidden="false" customHeight="true" outlineLevel="0" collapsed="false">
      <c r="B6" s="4" t="s">
        <v>134</v>
      </c>
      <c r="C6" s="6"/>
      <c r="D6" s="6"/>
      <c r="E6" s="6"/>
      <c r="F6" s="6"/>
      <c r="G6" s="6"/>
      <c r="H6" s="6"/>
      <c r="I6" s="6"/>
      <c r="J6" s="6"/>
    </row>
    <row r="7" customFormat="false" ht="15" hidden="false" customHeight="true" outlineLevel="0" collapsed="false">
      <c r="B7" s="3" t="s">
        <v>67</v>
      </c>
      <c r="F7" s="16" t="n">
        <f aca="false">Assumptions!$C$26</f>
        <v>12.3315585672798</v>
      </c>
      <c r="G7" s="16" t="n">
        <f aca="false">Assumptions!$C$26</f>
        <v>12.3315585672798</v>
      </c>
      <c r="H7" s="16" t="n">
        <f aca="false">Assumptions!$C$26</f>
        <v>12.3315585672798</v>
      </c>
      <c r="I7" s="16" t="n">
        <f aca="false">Assumptions!$C$26</f>
        <v>12.3315585672798</v>
      </c>
      <c r="J7" s="16" t="n">
        <f aca="false">Assumptions!$C$26</f>
        <v>12.3315585672798</v>
      </c>
    </row>
    <row r="8" customFormat="false" ht="15" hidden="false" customHeight="true" outlineLevel="0" collapsed="false">
      <c r="B8" s="3" t="s">
        <v>69</v>
      </c>
      <c r="F8" s="16" t="n">
        <f aca="false">Assumptions!$C$27</f>
        <v>47.1001936108422</v>
      </c>
      <c r="G8" s="16" t="n">
        <f aca="false">Assumptions!$C$27</f>
        <v>47.1001936108422</v>
      </c>
      <c r="H8" s="16" t="n">
        <f aca="false">Assumptions!$C$27</f>
        <v>47.1001936108422</v>
      </c>
      <c r="I8" s="16" t="n">
        <f aca="false">Assumptions!$C$27</f>
        <v>47.1001936108422</v>
      </c>
      <c r="J8" s="16" t="n">
        <f aca="false">Assumptions!$C$27</f>
        <v>47.1001936108422</v>
      </c>
    </row>
    <row r="9" customFormat="false" ht="15" hidden="false" customHeight="true" outlineLevel="0" collapsed="false">
      <c r="B9" s="3" t="s">
        <v>71</v>
      </c>
      <c r="F9" s="16" t="n">
        <f aca="false">Assumptions!$C$28</f>
        <v>45.8281703775412</v>
      </c>
      <c r="G9" s="16" t="n">
        <f aca="false">Assumptions!$C$28</f>
        <v>45.8281703775412</v>
      </c>
      <c r="H9" s="16" t="n">
        <f aca="false">Assumptions!$C$28</f>
        <v>45.8281703775412</v>
      </c>
      <c r="I9" s="16" t="n">
        <f aca="false">Assumptions!$C$28</f>
        <v>45.8281703775412</v>
      </c>
      <c r="J9" s="16" t="n">
        <f aca="false">Assumptions!$C$28</f>
        <v>45.8281703775412</v>
      </c>
    </row>
    <row r="11" customFormat="false" ht="15" hidden="false" customHeight="true" outlineLevel="0" collapsed="false">
      <c r="B11" s="4" t="s">
        <v>135</v>
      </c>
      <c r="C11" s="6"/>
      <c r="D11" s="6"/>
      <c r="E11" s="6"/>
      <c r="F11" s="6"/>
      <c r="G11" s="6"/>
      <c r="H11" s="6"/>
      <c r="I11" s="6"/>
      <c r="J11" s="6"/>
    </row>
    <row r="12" customFormat="false" ht="15" hidden="false" customHeight="true" outlineLevel="0" collapsed="false">
      <c r="B12" s="3" t="s">
        <v>136</v>
      </c>
      <c r="F12" s="12" t="n">
        <f aca="false">'Income Statement'!F6/365</f>
        <v>28.867397260274</v>
      </c>
      <c r="G12" s="12" t="n">
        <f aca="false">'Income Statement'!G6/365</f>
        <v>29.4447452054795</v>
      </c>
      <c r="H12" s="12" t="n">
        <f aca="false">'Income Statement'!H6/365</f>
        <v>30.033640109589</v>
      </c>
      <c r="I12" s="12" t="n">
        <f aca="false">'Income Statement'!I6/365</f>
        <v>30.6343129117808</v>
      </c>
      <c r="J12" s="12" t="n">
        <f aca="false">'Income Statement'!J6/365</f>
        <v>31.2469991700164</v>
      </c>
    </row>
    <row r="14" customFormat="false" ht="15" hidden="false" customHeight="true" outlineLevel="0" collapsed="false">
      <c r="B14" s="4" t="s">
        <v>137</v>
      </c>
      <c r="C14" s="6"/>
      <c r="D14" s="6"/>
      <c r="E14" s="6"/>
      <c r="F14" s="6"/>
      <c r="G14" s="6"/>
      <c r="H14" s="6"/>
      <c r="I14" s="6"/>
      <c r="J14" s="6"/>
    </row>
    <row r="15" customFormat="false" ht="15" hidden="false" customHeight="true" outlineLevel="0" collapsed="false">
      <c r="B15" s="7" t="s">
        <v>42</v>
      </c>
      <c r="E15" s="12" t="n">
        <f aca="false">Assumptions!$C$7</f>
        <v>349</v>
      </c>
      <c r="F15" s="13" t="n">
        <f aca="false">F7*F12</f>
        <v>355.98</v>
      </c>
      <c r="G15" s="13" t="n">
        <f aca="false">G7*G12</f>
        <v>363.0996</v>
      </c>
      <c r="H15" s="13" t="n">
        <f aca="false">H7*H12</f>
        <v>370.361592</v>
      </c>
      <c r="I15" s="13" t="n">
        <f aca="false">I7*I12</f>
        <v>377.76882384</v>
      </c>
      <c r="J15" s="13" t="n">
        <f aca="false">J7*J12</f>
        <v>385.3242003168</v>
      </c>
    </row>
    <row r="16" customFormat="false" ht="15" hidden="false" customHeight="true" outlineLevel="0" collapsed="false">
      <c r="B16" s="7" t="s">
        <v>44</v>
      </c>
      <c r="E16" s="12" t="n">
        <f aca="false">Assumptions!$C$8</f>
        <v>1333</v>
      </c>
      <c r="F16" s="13" t="n">
        <f aca="false">F8*F12</f>
        <v>1359.66</v>
      </c>
      <c r="G16" s="13" t="n">
        <f aca="false">G8*G12</f>
        <v>1386.8532</v>
      </c>
      <c r="H16" s="13" t="n">
        <f aca="false">H8*H12</f>
        <v>1414.590264</v>
      </c>
      <c r="I16" s="13" t="n">
        <f aca="false">I8*I12</f>
        <v>1442.88206928</v>
      </c>
      <c r="J16" s="13" t="n">
        <f aca="false">J8*J12</f>
        <v>1471.7397106656</v>
      </c>
    </row>
    <row r="17" customFormat="false" ht="15" hidden="false" customHeight="true" outlineLevel="0" collapsed="false">
      <c r="B17" s="7" t="s">
        <v>47</v>
      </c>
      <c r="E17" s="12" t="n">
        <f aca="false">Assumptions!$C$11</f>
        <v>1297</v>
      </c>
      <c r="F17" s="13" t="n">
        <f aca="false">F9*F12</f>
        <v>1322.94</v>
      </c>
      <c r="G17" s="13" t="n">
        <f aca="false">G9*G12</f>
        <v>1349.3988</v>
      </c>
      <c r="H17" s="13" t="n">
        <f aca="false">H9*H12</f>
        <v>1376.386776</v>
      </c>
      <c r="I17" s="13" t="n">
        <f aca="false">I9*I12</f>
        <v>1403.91451152</v>
      </c>
      <c r="J17" s="13" t="n">
        <f aca="false">J9*J12</f>
        <v>1431.9928017504</v>
      </c>
    </row>
    <row r="18" customFormat="false" ht="15" hidden="false" customHeight="true" outlineLevel="0" collapsed="false">
      <c r="B18" s="7" t="s">
        <v>138</v>
      </c>
      <c r="E18" s="24" t="n">
        <f aca="false">E15+E16-E17</f>
        <v>385</v>
      </c>
      <c r="F18" s="24" t="n">
        <f aca="false">F15+F16-F17</f>
        <v>392.7</v>
      </c>
      <c r="G18" s="24" t="n">
        <f aca="false">G15+G16-G17</f>
        <v>400.554</v>
      </c>
      <c r="H18" s="24" t="n">
        <f aca="false">H15+H16-H17</f>
        <v>408.56508</v>
      </c>
      <c r="I18" s="24" t="n">
        <f aca="false">I15+I16-I17</f>
        <v>416.7363816</v>
      </c>
      <c r="J18" s="24" t="n">
        <f aca="false">J15+J16-J17</f>
        <v>425.071109232</v>
      </c>
    </row>
    <row r="20" customFormat="false" ht="15" hidden="false" customHeight="true" outlineLevel="0" collapsed="false">
      <c r="B20" s="4" t="s">
        <v>139</v>
      </c>
      <c r="C20" s="6"/>
      <c r="D20" s="6"/>
      <c r="E20" s="6"/>
      <c r="F20" s="6"/>
      <c r="G20" s="6"/>
      <c r="H20" s="6"/>
      <c r="I20" s="6"/>
      <c r="J20" s="6"/>
    </row>
    <row r="21" customFormat="false" ht="15" hidden="false" customHeight="true" outlineLevel="0" collapsed="false">
      <c r="B21" s="3" t="s">
        <v>140</v>
      </c>
      <c r="F21" s="12" t="n">
        <f aca="false">-(F15-E15)</f>
        <v>-6.98000000000002</v>
      </c>
      <c r="G21" s="12" t="n">
        <f aca="false">-(G15-F15)</f>
        <v>-7.11959999999999</v>
      </c>
      <c r="H21" s="12" t="n">
        <f aca="false">-(H15-G15)</f>
        <v>-7.26199200000002</v>
      </c>
      <c r="I21" s="12" t="n">
        <f aca="false">-(I15-H15)</f>
        <v>-7.40723184000001</v>
      </c>
      <c r="J21" s="12" t="n">
        <f aca="false">-(J15-I15)</f>
        <v>-7.55537647680001</v>
      </c>
    </row>
    <row r="22" customFormat="false" ht="15" hidden="false" customHeight="true" outlineLevel="0" collapsed="false">
      <c r="B22" s="3" t="s">
        <v>141</v>
      </c>
      <c r="F22" s="12" t="n">
        <f aca="false">-(F16-E16)</f>
        <v>-26.6600000000003</v>
      </c>
      <c r="G22" s="12" t="n">
        <f aca="false">-(G16-F16)</f>
        <v>-27.1931999999999</v>
      </c>
      <c r="H22" s="12" t="n">
        <f aca="false">-(H16-G16)</f>
        <v>-27.7370639999999</v>
      </c>
      <c r="I22" s="12" t="n">
        <f aca="false">-(I16-H16)</f>
        <v>-28.2918052800001</v>
      </c>
      <c r="J22" s="12" t="n">
        <f aca="false">-(J16-I16)</f>
        <v>-28.8576413856001</v>
      </c>
    </row>
    <row r="23" customFormat="false" ht="15" hidden="false" customHeight="true" outlineLevel="0" collapsed="false">
      <c r="B23" s="3" t="s">
        <v>142</v>
      </c>
      <c r="F23" s="12" t="n">
        <f aca="false">F17-E17</f>
        <v>25.9400000000003</v>
      </c>
      <c r="G23" s="12" t="n">
        <f aca="false">G17-F17</f>
        <v>26.4587999999999</v>
      </c>
      <c r="H23" s="12" t="n">
        <f aca="false">H17-G17</f>
        <v>26.9879760000001</v>
      </c>
      <c r="I23" s="12" t="n">
        <f aca="false">I17-H17</f>
        <v>27.5277355200001</v>
      </c>
      <c r="J23" s="12" t="n">
        <f aca="false">J17-I17</f>
        <v>28.0782902303999</v>
      </c>
    </row>
    <row r="24" customFormat="false" ht="15" hidden="false" customHeight="true" outlineLevel="0" collapsed="false">
      <c r="B24" s="7" t="s">
        <v>143</v>
      </c>
      <c r="F24" s="24" t="n">
        <f aca="false">SUM(F21:F23)</f>
        <v>-7.70000000000005</v>
      </c>
      <c r="G24" s="24" t="n">
        <f aca="false">SUM(G21:G23)</f>
        <v>-7.85400000000004</v>
      </c>
      <c r="H24" s="24" t="n">
        <f aca="false">SUM(H21:H23)</f>
        <v>-8.01107999999982</v>
      </c>
      <c r="I24" s="24" t="n">
        <f aca="false">SUM(I21:I23)</f>
        <v>-8.17130159999999</v>
      </c>
      <c r="J24" s="24" t="n">
        <f aca="false">SUM(J21:J23)</f>
        <v>-8.33472763200018</v>
      </c>
    </row>
    <row r="26" customFormat="false" ht="16.5" hidden="false" customHeight="true" outlineLevel="0" collapsed="false">
      <c r="B26" s="5" t="s">
        <v>144</v>
      </c>
      <c r="C26" s="5"/>
      <c r="D26" s="5"/>
      <c r="E26" s="5"/>
      <c r="F26" s="5"/>
      <c r="G26" s="5"/>
      <c r="H26" s="5"/>
      <c r="I26" s="5"/>
      <c r="J26" s="5"/>
    </row>
  </sheetData>
  <mergeCells count="2">
    <mergeCell ref="B2:F2"/>
    <mergeCell ref="B26:J26"/>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46"/>
    <col collapsed="false" customWidth="true" hidden="false" outlineLevel="0" max="10" min="3" style="1" width="12"/>
  </cols>
  <sheetData>
    <row r="2" customFormat="false" ht="17.25" hidden="false" customHeight="true" outlineLevel="0" collapsed="false">
      <c r="B2" s="9" t="s">
        <v>145</v>
      </c>
      <c r="C2" s="9"/>
      <c r="D2" s="9"/>
      <c r="E2" s="9"/>
      <c r="F2" s="9"/>
    </row>
    <row r="3" customFormat="false" ht="15" hidden="false" customHeight="true" outlineLevel="0" collapsed="false">
      <c r="B3" s="10" t="s">
        <v>146</v>
      </c>
    </row>
    <row r="5" customFormat="false" ht="15" hidden="false" customHeight="true" outlineLevel="0" collapsed="false">
      <c r="C5" s="23" t="s">
        <v>126</v>
      </c>
      <c r="D5" s="23" t="s">
        <v>127</v>
      </c>
      <c r="E5" s="23" t="s">
        <v>128</v>
      </c>
      <c r="F5" s="23" t="s">
        <v>129</v>
      </c>
      <c r="G5" s="23" t="s">
        <v>130</v>
      </c>
      <c r="H5" s="23" t="s">
        <v>131</v>
      </c>
      <c r="I5" s="23" t="s">
        <v>132</v>
      </c>
      <c r="J5" s="23" t="s">
        <v>133</v>
      </c>
    </row>
    <row r="6" customFormat="false" ht="15" hidden="false" customHeight="true" outlineLevel="0" collapsed="false">
      <c r="B6" s="4" t="s">
        <v>147</v>
      </c>
      <c r="C6" s="6"/>
      <c r="D6" s="6"/>
      <c r="E6" s="6"/>
      <c r="F6" s="6"/>
      <c r="G6" s="6"/>
      <c r="H6" s="6"/>
      <c r="I6" s="6"/>
      <c r="J6" s="6"/>
    </row>
    <row r="7" customFormat="false" ht="15" hidden="false" customHeight="true" outlineLevel="0" collapsed="false">
      <c r="B7" s="3" t="s">
        <v>148</v>
      </c>
      <c r="E7" s="12" t="n">
        <f aca="false">Assumptions!$C$9</f>
        <v>3493</v>
      </c>
      <c r="F7" s="12" t="n">
        <f aca="false">E10</f>
        <v>3493</v>
      </c>
      <c r="G7" s="12" t="n">
        <f aca="false">F10</f>
        <v>3283.135</v>
      </c>
      <c r="H7" s="12" t="n">
        <f aca="false">G10</f>
        <v>3069.0727</v>
      </c>
      <c r="I7" s="12" t="n">
        <f aca="false">H10</f>
        <v>2850.729154</v>
      </c>
      <c r="J7" s="12" t="n">
        <f aca="false">I10</f>
        <v>2628.01873708</v>
      </c>
    </row>
    <row r="8" customFormat="false" ht="15" hidden="false" customHeight="true" outlineLevel="0" collapsed="false">
      <c r="B8" s="3" t="s">
        <v>149</v>
      </c>
      <c r="F8" s="12" t="n">
        <f aca="false">'Income Statement'!F6*Assumptions!$C$25</f>
        <v>263.415</v>
      </c>
      <c r="G8" s="12" t="n">
        <f aca="false">'Income Statement'!G6*Assumptions!$C$25</f>
        <v>268.6833</v>
      </c>
      <c r="H8" s="12" t="n">
        <f aca="false">'Income Statement'!H6*Assumptions!$C$25</f>
        <v>274.056966</v>
      </c>
      <c r="I8" s="12" t="n">
        <f aca="false">'Income Statement'!I6*Assumptions!$C$25</f>
        <v>279.53810532</v>
      </c>
      <c r="J8" s="12" t="n">
        <f aca="false">'Income Statement'!J6*Assumptions!$C$25</f>
        <v>285.1288674264</v>
      </c>
    </row>
    <row r="9" customFormat="false" ht="15" hidden="false" customHeight="true" outlineLevel="0" collapsed="false">
      <c r="B9" s="3" t="s">
        <v>150</v>
      </c>
      <c r="F9" s="12" t="n">
        <f aca="false">-'Income Statement'!F8</f>
        <v>-473.28</v>
      </c>
      <c r="G9" s="12" t="n">
        <f aca="false">-'Income Statement'!G8</f>
        <v>-482.7456</v>
      </c>
      <c r="H9" s="12" t="n">
        <f aca="false">-'Income Statement'!H8</f>
        <v>-492.400512</v>
      </c>
      <c r="I9" s="12" t="n">
        <f aca="false">-'Income Statement'!I8</f>
        <v>-502.24852224</v>
      </c>
      <c r="J9" s="12" t="n">
        <f aca="false">-'Income Statement'!J8</f>
        <v>-512.2934926848</v>
      </c>
    </row>
    <row r="10" customFormat="false" ht="15" hidden="false" customHeight="true" outlineLevel="0" collapsed="false">
      <c r="B10" s="7" t="s">
        <v>151</v>
      </c>
      <c r="E10" s="13" t="n">
        <f aca="false">E7</f>
        <v>3493</v>
      </c>
      <c r="F10" s="24" t="n">
        <f aca="false">F7+F8+F9</f>
        <v>3283.135</v>
      </c>
      <c r="G10" s="24" t="n">
        <f aca="false">G7+G8+G9</f>
        <v>3069.0727</v>
      </c>
      <c r="H10" s="24" t="n">
        <f aca="false">H7+H8+H9</f>
        <v>2850.729154</v>
      </c>
      <c r="I10" s="24" t="n">
        <f aca="false">I7+I8+I9</f>
        <v>2628.01873708</v>
      </c>
      <c r="J10" s="24" t="n">
        <f aca="false">J7+J8+J9</f>
        <v>2400.8541118216</v>
      </c>
    </row>
    <row r="12" customFormat="false" ht="27.75" hidden="false" customHeight="true" outlineLevel="0" collapsed="false">
      <c r="B12" s="5" t="s">
        <v>152</v>
      </c>
      <c r="C12" s="5"/>
      <c r="D12" s="5"/>
      <c r="E12" s="5"/>
      <c r="F12" s="5"/>
      <c r="G12" s="5"/>
      <c r="H12" s="5"/>
      <c r="I12" s="5"/>
      <c r="J12" s="5"/>
    </row>
    <row r="13" customFormat="false" ht="39" hidden="false" customHeight="true" outlineLevel="0" collapsed="false">
      <c r="B13" s="5" t="s">
        <v>153</v>
      </c>
      <c r="C13" s="5"/>
      <c r="D13" s="5"/>
      <c r="E13" s="5"/>
      <c r="F13" s="5"/>
      <c r="G13" s="5"/>
      <c r="H13" s="5"/>
      <c r="I13" s="5"/>
      <c r="J13" s="5"/>
    </row>
  </sheetData>
  <mergeCells count="3">
    <mergeCell ref="B2:F2"/>
    <mergeCell ref="B12:J12"/>
    <mergeCell ref="B13:J13"/>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46"/>
    <col collapsed="false" customWidth="true" hidden="false" outlineLevel="0" max="10" min="3" style="1" width="12"/>
  </cols>
  <sheetData>
    <row r="2" customFormat="false" ht="17.25" hidden="false" customHeight="true" outlineLevel="0" collapsed="false">
      <c r="B2" s="9" t="s">
        <v>154</v>
      </c>
      <c r="C2" s="9"/>
      <c r="D2" s="9"/>
      <c r="E2" s="9"/>
      <c r="F2" s="9"/>
    </row>
    <row r="3" customFormat="false" ht="15" hidden="false" customHeight="true" outlineLevel="0" collapsed="false">
      <c r="B3" s="10" t="s">
        <v>155</v>
      </c>
    </row>
    <row r="5" customFormat="false" ht="15" hidden="false" customHeight="true" outlineLevel="0" collapsed="false">
      <c r="C5" s="23" t="s">
        <v>126</v>
      </c>
      <c r="D5" s="23" t="s">
        <v>127</v>
      </c>
      <c r="E5" s="23" t="s">
        <v>128</v>
      </c>
      <c r="F5" s="23" t="s">
        <v>129</v>
      </c>
      <c r="G5" s="23" t="s">
        <v>130</v>
      </c>
      <c r="H5" s="23" t="s">
        <v>131</v>
      </c>
      <c r="I5" s="23" t="s">
        <v>132</v>
      </c>
      <c r="J5" s="23" t="s">
        <v>133</v>
      </c>
    </row>
    <row r="6" customFormat="false" ht="27.75" hidden="false" customHeight="true" outlineLevel="0" collapsed="false">
      <c r="B6" s="5" t="s">
        <v>156</v>
      </c>
      <c r="C6" s="5"/>
      <c r="D6" s="5"/>
      <c r="E6" s="5"/>
      <c r="F6" s="5"/>
      <c r="G6" s="5"/>
      <c r="H6" s="5"/>
      <c r="I6" s="5"/>
      <c r="J6" s="5"/>
    </row>
    <row r="7" customFormat="false" ht="15" hidden="false" customHeight="true" outlineLevel="0" collapsed="false">
      <c r="B7" s="4" t="s">
        <v>157</v>
      </c>
      <c r="C7" s="6"/>
      <c r="D7" s="6"/>
      <c r="E7" s="6"/>
      <c r="F7" s="6"/>
      <c r="G7" s="6"/>
      <c r="H7" s="6"/>
      <c r="I7" s="6"/>
      <c r="J7" s="6"/>
    </row>
    <row r="8" customFormat="false" ht="15" hidden="false" customHeight="true" outlineLevel="0" collapsed="false">
      <c r="B8" s="3" t="s">
        <v>158</v>
      </c>
      <c r="E8" s="12" t="n">
        <f aca="false">Assumptions!$C$13</f>
        <v>958</v>
      </c>
      <c r="F8" s="12" t="n">
        <f aca="false">E14</f>
        <v>958</v>
      </c>
      <c r="G8" s="12" t="n">
        <f aca="false">F14</f>
        <v>506</v>
      </c>
      <c r="H8" s="12" t="n">
        <f aca="false">G14</f>
        <v>159.60485</v>
      </c>
      <c r="I8" s="12" t="n">
        <f aca="false">H14</f>
        <v>0</v>
      </c>
      <c r="J8" s="12" t="n">
        <f aca="false">I14</f>
        <v>0</v>
      </c>
    </row>
    <row r="9" customFormat="false" ht="15" hidden="false" customHeight="true" outlineLevel="0" collapsed="false">
      <c r="B9" s="3" t="s">
        <v>159</v>
      </c>
      <c r="F9" s="12" t="n">
        <f aca="false">-MIN(F8,Assumptions!$C$32)</f>
        <v>-100</v>
      </c>
      <c r="G9" s="12" t="n">
        <f aca="false">-MIN(G8,Assumptions!$C$32)</f>
        <v>-100</v>
      </c>
      <c r="H9" s="12" t="n">
        <f aca="false">-MIN(H8,Assumptions!$C$32)</f>
        <v>-100</v>
      </c>
      <c r="I9" s="12" t="n">
        <f aca="false">-MIN(I8,Assumptions!$C$32)</f>
        <v>-0</v>
      </c>
      <c r="J9" s="12" t="n">
        <f aca="false">-MIN(J8,Assumptions!$C$32)</f>
        <v>-0</v>
      </c>
    </row>
    <row r="10" customFormat="false" ht="15" hidden="false" customHeight="true" outlineLevel="0" collapsed="false">
      <c r="B10" s="3" t="s">
        <v>160</v>
      </c>
      <c r="E10" s="12" t="n">
        <f aca="false">Assumptions!$C$6</f>
        <v>1104</v>
      </c>
      <c r="F10" s="12" t="n">
        <f aca="false">'Balance Sheet'!E7</f>
        <v>1104</v>
      </c>
      <c r="G10" s="12" t="n">
        <f aca="false">'Balance Sheet'!F7</f>
        <v>892.7903</v>
      </c>
      <c r="H10" s="12" t="n">
        <f aca="false">'Balance Sheet'!G7</f>
        <v>804.119936</v>
      </c>
      <c r="I10" s="12" t="n">
        <f aca="false">'Balance Sheet'!H7</f>
        <v>916.80456313875</v>
      </c>
      <c r="J10" s="12" t="n">
        <f aca="false">'Balance Sheet'!I7</f>
        <v>1199.37343269315</v>
      </c>
    </row>
    <row r="11" customFormat="false" ht="15" hidden="false" customHeight="true" outlineLevel="0" collapsed="false">
      <c r="B11" s="3" t="s">
        <v>161</v>
      </c>
      <c r="F11" s="12" t="n">
        <f aca="false">Assumptions!$C$33</f>
        <v>400</v>
      </c>
      <c r="G11" s="12" t="n">
        <f aca="false">Assumptions!$C$33</f>
        <v>400</v>
      </c>
      <c r="H11" s="12" t="n">
        <f aca="false">Assumptions!$C$33</f>
        <v>400</v>
      </c>
      <c r="I11" s="12" t="n">
        <f aca="false">Assumptions!$C$33</f>
        <v>400</v>
      </c>
      <c r="J11" s="12" t="n">
        <f aca="false">Assumptions!$C$33</f>
        <v>400</v>
      </c>
    </row>
    <row r="12" customFormat="false" ht="15" hidden="false" customHeight="true" outlineLevel="0" collapsed="false">
      <c r="B12" s="3" t="s">
        <v>162</v>
      </c>
      <c r="F12" s="12" t="n">
        <f aca="false">MAX(F10-F11,0)</f>
        <v>704</v>
      </c>
      <c r="G12" s="12" t="n">
        <f aca="false">MAX(G10-G11,0)</f>
        <v>492.7903</v>
      </c>
      <c r="H12" s="12" t="n">
        <f aca="false">MAX(H10-H11,0)</f>
        <v>404.119936</v>
      </c>
      <c r="I12" s="12" t="n">
        <f aca="false">MAX(I10-I11,0)</f>
        <v>516.80456313875</v>
      </c>
      <c r="J12" s="12" t="n">
        <f aca="false">MAX(J10-J11,0)</f>
        <v>799.37343269315</v>
      </c>
    </row>
    <row r="13" customFormat="false" ht="15" hidden="false" customHeight="true" outlineLevel="0" collapsed="false">
      <c r="B13" s="3" t="s">
        <v>163</v>
      </c>
      <c r="F13" s="12" t="n">
        <f aca="false">-MIN(F12*Assumptions!$C$34,MAX(F8+F9,0))</f>
        <v>-352</v>
      </c>
      <c r="G13" s="12" t="n">
        <f aca="false">-MIN(G12*Assumptions!$C$34,MAX(G8+G9,0))</f>
        <v>-246.39515</v>
      </c>
      <c r="H13" s="12" t="n">
        <f aca="false">-MIN(H12*Assumptions!$C$34,MAX(H8+H9,0))</f>
        <v>-59.60485</v>
      </c>
      <c r="I13" s="12" t="n">
        <f aca="false">-MIN(I12*Assumptions!$C$34,MAX(I8+I9,0))</f>
        <v>-0</v>
      </c>
      <c r="J13" s="12" t="n">
        <f aca="false">-MIN(J12*Assumptions!$C$34,MAX(J8+J9,0))</f>
        <v>-0</v>
      </c>
    </row>
    <row r="14" customFormat="false" ht="15" hidden="false" customHeight="true" outlineLevel="0" collapsed="false">
      <c r="B14" s="7" t="s">
        <v>164</v>
      </c>
      <c r="E14" s="13" t="n">
        <f aca="false">E8</f>
        <v>958</v>
      </c>
      <c r="F14" s="24" t="n">
        <f aca="false">MAX(F8+F9+F13,0)</f>
        <v>506</v>
      </c>
      <c r="G14" s="24" t="n">
        <f aca="false">MAX(G8+G9+G13,0)</f>
        <v>159.60485</v>
      </c>
      <c r="H14" s="24" t="n">
        <f aca="false">MAX(H8+H9+H13,0)</f>
        <v>0</v>
      </c>
      <c r="I14" s="24" t="n">
        <f aca="false">MAX(I8+I9+I13,0)</f>
        <v>0</v>
      </c>
      <c r="J14" s="24" t="n">
        <f aca="false">MAX(J8+J9+J13,0)</f>
        <v>0</v>
      </c>
    </row>
    <row r="15" customFormat="false" ht="15" hidden="false" customHeight="true" outlineLevel="0" collapsed="false">
      <c r="B15" s="3" t="s">
        <v>165</v>
      </c>
      <c r="F15" s="12" t="n">
        <f aca="false">F9+F13</f>
        <v>-452</v>
      </c>
      <c r="G15" s="12" t="n">
        <f aca="false">G9+G13</f>
        <v>-346.39515</v>
      </c>
      <c r="H15" s="12" t="n">
        <f aca="false">H9+H13</f>
        <v>-159.60485</v>
      </c>
      <c r="I15" s="12" t="n">
        <f aca="false">I9+I13</f>
        <v>-0</v>
      </c>
      <c r="J15" s="12" t="n">
        <f aca="false">J9+J13</f>
        <v>-0</v>
      </c>
    </row>
    <row r="17" customFormat="false" ht="15" hidden="false" customHeight="true" outlineLevel="0" collapsed="false">
      <c r="B17" s="4" t="s">
        <v>166</v>
      </c>
      <c r="C17" s="6"/>
      <c r="D17" s="6"/>
      <c r="E17" s="6"/>
      <c r="F17" s="6"/>
      <c r="G17" s="6"/>
      <c r="H17" s="6"/>
      <c r="I17" s="6"/>
      <c r="J17" s="6"/>
    </row>
    <row r="18" customFormat="false" ht="15" hidden="false" customHeight="true" outlineLevel="0" collapsed="false">
      <c r="B18" s="3" t="s">
        <v>167</v>
      </c>
      <c r="F18" s="12" t="n">
        <f aca="false">-F8*Assumptions!$C$30</f>
        <v>-43.11</v>
      </c>
      <c r="G18" s="12" t="n">
        <f aca="false">-G8*Assumptions!$C$30</f>
        <v>-22.77</v>
      </c>
      <c r="H18" s="12" t="n">
        <f aca="false">-H8*Assumptions!$C$30</f>
        <v>-7.18221825</v>
      </c>
      <c r="I18" s="12" t="n">
        <f aca="false">-I8*Assumptions!$C$30</f>
        <v>-0</v>
      </c>
      <c r="J18" s="12" t="n">
        <f aca="false">-J8*Assumptions!$C$30</f>
        <v>-0</v>
      </c>
    </row>
  </sheetData>
  <mergeCells count="2">
    <mergeCell ref="B2:F2"/>
    <mergeCell ref="B6:J6"/>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46"/>
    <col collapsed="false" customWidth="true" hidden="false" outlineLevel="0" max="10" min="3" style="1" width="12"/>
  </cols>
  <sheetData>
    <row r="2" customFormat="false" ht="17.25" hidden="false" customHeight="true" outlineLevel="0" collapsed="false">
      <c r="B2" s="9" t="s">
        <v>168</v>
      </c>
      <c r="C2" s="9"/>
      <c r="D2" s="9"/>
      <c r="E2" s="9"/>
      <c r="F2" s="9"/>
    </row>
    <row r="3" customFormat="false" ht="15" hidden="false" customHeight="true" outlineLevel="0" collapsed="false">
      <c r="B3" s="10" t="s">
        <v>2</v>
      </c>
    </row>
    <row r="5" customFormat="false" ht="15" hidden="false" customHeight="true" outlineLevel="0" collapsed="false">
      <c r="C5" s="23" t="s">
        <v>126</v>
      </c>
      <c r="D5" s="23" t="s">
        <v>127</v>
      </c>
      <c r="E5" s="23" t="s">
        <v>128</v>
      </c>
      <c r="F5" s="23" t="s">
        <v>129</v>
      </c>
      <c r="G5" s="23" t="s">
        <v>130</v>
      </c>
      <c r="H5" s="23" t="s">
        <v>131</v>
      </c>
      <c r="I5" s="23" t="s">
        <v>132</v>
      </c>
      <c r="J5" s="23" t="s">
        <v>133</v>
      </c>
    </row>
    <row r="6" customFormat="false" ht="15" hidden="false" customHeight="true" outlineLevel="0" collapsed="false">
      <c r="B6" s="7" t="s">
        <v>169</v>
      </c>
      <c r="C6" s="11" t="n">
        <v>7875</v>
      </c>
      <c r="D6" s="11" t="n">
        <v>8253</v>
      </c>
      <c r="E6" s="11" t="n">
        <v>10330</v>
      </c>
      <c r="F6" s="13" t="n">
        <f aca="false">E6*(1+Assumptions!$C$22)</f>
        <v>10536.6</v>
      </c>
      <c r="G6" s="13" t="n">
        <f aca="false">F6*(1+Assumptions!$C$22)</f>
        <v>10747.332</v>
      </c>
      <c r="H6" s="13" t="n">
        <f aca="false">G6*(1+Assumptions!$C$22)</f>
        <v>10962.27864</v>
      </c>
      <c r="I6" s="13" t="n">
        <f aca="false">H6*(1+Assumptions!$C$22)</f>
        <v>11181.5242128</v>
      </c>
      <c r="J6" s="13" t="n">
        <f aca="false">I6*(1+Assumptions!$C$22)</f>
        <v>11405.154697056</v>
      </c>
    </row>
    <row r="7" customFormat="false" ht="15" hidden="false" customHeight="true" outlineLevel="0" collapsed="false">
      <c r="B7" s="7" t="s">
        <v>170</v>
      </c>
      <c r="C7" s="11" t="n">
        <v>171</v>
      </c>
      <c r="D7" s="11" t="n">
        <v>189</v>
      </c>
      <c r="E7" s="11" t="n">
        <v>203</v>
      </c>
      <c r="F7" s="13" t="n">
        <f aca="false">F6*Assumptions!$C$23</f>
        <v>210.732</v>
      </c>
      <c r="G7" s="13" t="n">
        <f aca="false">G6*Assumptions!$C$23</f>
        <v>214.94664</v>
      </c>
      <c r="H7" s="13" t="n">
        <f aca="false">H6*Assumptions!$C$23</f>
        <v>219.2455728</v>
      </c>
      <c r="I7" s="13" t="n">
        <f aca="false">I6*Assumptions!$C$23</f>
        <v>223.630484256</v>
      </c>
      <c r="J7" s="13" t="n">
        <f aca="false">J6*Assumptions!$C$23</f>
        <v>228.10309394112</v>
      </c>
    </row>
    <row r="8" customFormat="false" ht="15" hidden="false" customHeight="true" outlineLevel="0" collapsed="false">
      <c r="B8" s="3" t="s">
        <v>171</v>
      </c>
      <c r="C8" s="12" t="n">
        <f aca="false">C6*0.034</f>
        <v>267.75</v>
      </c>
      <c r="D8" s="12" t="n">
        <f aca="false">D6*0.034</f>
        <v>280.602</v>
      </c>
      <c r="E8" s="11" t="n">
        <v>464</v>
      </c>
      <c r="F8" s="12" t="n">
        <f aca="false">F6*Assumptions!$C$24</f>
        <v>473.28</v>
      </c>
      <c r="G8" s="12" t="n">
        <f aca="false">G6*Assumptions!$C$24</f>
        <v>482.7456</v>
      </c>
      <c r="H8" s="12" t="n">
        <f aca="false">H6*Assumptions!$C$24</f>
        <v>492.400512</v>
      </c>
      <c r="I8" s="12" t="n">
        <f aca="false">I6*Assumptions!$C$24</f>
        <v>502.24852224</v>
      </c>
      <c r="J8" s="12" t="n">
        <f aca="false">J6*Assumptions!$C$24</f>
        <v>512.2934926848</v>
      </c>
    </row>
    <row r="9" customFormat="false" ht="15" hidden="false" customHeight="true" outlineLevel="0" collapsed="false">
      <c r="B9" s="7" t="s">
        <v>172</v>
      </c>
      <c r="C9" s="24" t="n">
        <f aca="false">C7+C8</f>
        <v>438.75</v>
      </c>
      <c r="D9" s="24" t="n">
        <f aca="false">D7+D8</f>
        <v>469.602</v>
      </c>
      <c r="E9" s="24" t="n">
        <f aca="false">E7+E8</f>
        <v>667</v>
      </c>
      <c r="F9" s="24" t="n">
        <f aca="false">F7+F8</f>
        <v>684.012</v>
      </c>
      <c r="G9" s="24" t="n">
        <f aca="false">G7+G8</f>
        <v>697.69224</v>
      </c>
      <c r="H9" s="24" t="n">
        <f aca="false">H7+H8</f>
        <v>711.6460848</v>
      </c>
      <c r="I9" s="24" t="n">
        <f aca="false">I7+I8</f>
        <v>725.879006496</v>
      </c>
      <c r="J9" s="24" t="n">
        <f aca="false">J7+J8</f>
        <v>740.39658662592</v>
      </c>
    </row>
    <row r="11" customFormat="false" ht="15" hidden="false" customHeight="true" outlineLevel="0" collapsed="false">
      <c r="B11" s="4" t="s">
        <v>173</v>
      </c>
      <c r="C11" s="6"/>
      <c r="D11" s="6"/>
      <c r="E11" s="6"/>
      <c r="F11" s="6"/>
      <c r="G11" s="6"/>
      <c r="H11" s="6"/>
      <c r="I11" s="6"/>
      <c r="J11" s="6"/>
    </row>
    <row r="12" customFormat="false" ht="15" hidden="false" customHeight="true" outlineLevel="0" collapsed="false">
      <c r="B12" s="3" t="s">
        <v>174</v>
      </c>
      <c r="E12" s="11" t="n">
        <v>-118</v>
      </c>
      <c r="F12" s="12" t="n">
        <f aca="false">'Debt Schedule'!F18-'Balance Sheet'!E16*Assumptions!$C$31</f>
        <v>-137.16</v>
      </c>
      <c r="G12" s="12" t="n">
        <f aca="false">'Debt Schedule'!G18-'Balance Sheet'!F16*Assumptions!$C$31</f>
        <v>-116.82</v>
      </c>
      <c r="H12" s="12" t="n">
        <f aca="false">'Debt Schedule'!H18-'Balance Sheet'!G16*Assumptions!$C$31</f>
        <v>-101.23221825</v>
      </c>
      <c r="I12" s="12" t="n">
        <f aca="false">'Debt Schedule'!I18-'Balance Sheet'!H16*Assumptions!$C$31</f>
        <v>-94.05</v>
      </c>
      <c r="J12" s="12" t="n">
        <f aca="false">'Debt Schedule'!J18-'Balance Sheet'!I16*Assumptions!$C$31</f>
        <v>-94.05</v>
      </c>
    </row>
    <row r="13" customFormat="false" ht="15" hidden="false" customHeight="true" outlineLevel="0" collapsed="false">
      <c r="B13" s="3" t="s">
        <v>175</v>
      </c>
      <c r="E13" s="12" t="n">
        <f aca="false">E7-E12</f>
        <v>321</v>
      </c>
      <c r="F13" s="12" t="n">
        <f aca="false">F7+F12</f>
        <v>73.572</v>
      </c>
      <c r="G13" s="12" t="n">
        <f aca="false">G7+G12</f>
        <v>98.12664</v>
      </c>
      <c r="H13" s="12" t="n">
        <f aca="false">H7+H12</f>
        <v>118.01335455</v>
      </c>
      <c r="I13" s="12" t="n">
        <f aca="false">I7+I12</f>
        <v>129.580484256</v>
      </c>
      <c r="J13" s="12" t="n">
        <f aca="false">J7+J12</f>
        <v>134.05309394112</v>
      </c>
    </row>
    <row r="14" customFormat="false" ht="15" hidden="false" customHeight="true" outlineLevel="0" collapsed="false">
      <c r="B14" s="3" t="s">
        <v>176</v>
      </c>
      <c r="F14" s="12" t="n">
        <f aca="false">MAX(F13,0)*Assumptions!$C$29</f>
        <v>18.393</v>
      </c>
      <c r="G14" s="12" t="n">
        <f aca="false">MAX(G13,0)*Assumptions!$C$29</f>
        <v>24.53166</v>
      </c>
      <c r="H14" s="12" t="n">
        <f aca="false">MAX(H13,0)*Assumptions!$C$29</f>
        <v>29.5033386375</v>
      </c>
      <c r="I14" s="12" t="n">
        <f aca="false">MAX(I13,0)*Assumptions!$C$29</f>
        <v>32.395121064</v>
      </c>
      <c r="J14" s="12" t="n">
        <f aca="false">MAX(J13,0)*Assumptions!$C$29</f>
        <v>33.51327348528</v>
      </c>
    </row>
    <row r="15" customFormat="false" ht="15" hidden="false" customHeight="true" outlineLevel="0" collapsed="false">
      <c r="B15" s="7" t="s">
        <v>177</v>
      </c>
      <c r="C15" s="11" t="n">
        <v>50</v>
      </c>
      <c r="D15" s="11" t="n">
        <v>36</v>
      </c>
      <c r="E15" s="11" t="n">
        <v>-146</v>
      </c>
      <c r="F15" s="24" t="n">
        <f aca="false">F13-F14</f>
        <v>55.179</v>
      </c>
      <c r="G15" s="24" t="n">
        <f aca="false">G13-G14</f>
        <v>73.59498</v>
      </c>
      <c r="H15" s="24" t="n">
        <f aca="false">H13-H14</f>
        <v>88.5100159125</v>
      </c>
      <c r="I15" s="24" t="n">
        <f aca="false">I13-I14</f>
        <v>97.185363192</v>
      </c>
      <c r="J15" s="24" t="n">
        <f aca="false">J13-J14</f>
        <v>100.53982045584</v>
      </c>
    </row>
    <row r="16" customFormat="false" ht="39" hidden="false" customHeight="true" outlineLevel="0" collapsed="false">
      <c r="B16" s="5" t="s">
        <v>178</v>
      </c>
      <c r="C16" s="5"/>
      <c r="D16" s="5"/>
      <c r="E16" s="5"/>
      <c r="F16" s="5"/>
      <c r="G16" s="5"/>
      <c r="H16" s="5"/>
      <c r="I16" s="5"/>
      <c r="J16" s="5"/>
    </row>
    <row r="18" customFormat="false" ht="15" hidden="false" customHeight="true" outlineLevel="0" collapsed="false">
      <c r="B18" s="3" t="s">
        <v>179</v>
      </c>
      <c r="F18" s="12" t="n">
        <f aca="false">MAX(F15,0)*Assumptions!$C$35</f>
        <v>16.5537</v>
      </c>
      <c r="G18" s="12" t="n">
        <f aca="false">MAX(G15,0)*Assumptions!$C$35</f>
        <v>22.078494</v>
      </c>
      <c r="H18" s="12" t="n">
        <f aca="false">MAX(H15,0)*Assumptions!$C$35</f>
        <v>26.55300477375</v>
      </c>
      <c r="I18" s="12" t="n">
        <f aca="false">MAX(I15,0)*Assumptions!$C$35</f>
        <v>29.1556089576</v>
      </c>
      <c r="J18" s="12" t="n">
        <f aca="false">MAX(J15,0)*Assumptions!$C$35</f>
        <v>30.161946136752</v>
      </c>
    </row>
    <row r="20" customFormat="false" ht="15" hidden="false" customHeight="true" outlineLevel="0" collapsed="false">
      <c r="B20" s="4" t="s">
        <v>180</v>
      </c>
      <c r="C20" s="6"/>
      <c r="D20" s="6"/>
      <c r="E20" s="6"/>
      <c r="F20" s="6"/>
      <c r="G20" s="6"/>
      <c r="H20" s="6"/>
      <c r="I20" s="6"/>
      <c r="J20" s="6"/>
    </row>
    <row r="21" customFormat="false" ht="15" hidden="false" customHeight="true" outlineLevel="0" collapsed="false">
      <c r="B21" s="3" t="s">
        <v>181</v>
      </c>
      <c r="D21" s="21" t="n">
        <f aca="false">D6/C6-1</f>
        <v>0.048</v>
      </c>
      <c r="E21" s="21" t="n">
        <f aca="false">E6/D6-1</f>
        <v>0.251666060826366</v>
      </c>
      <c r="F21" s="21" t="n">
        <f aca="false">F6/E6-1</f>
        <v>0.02</v>
      </c>
      <c r="G21" s="21" t="n">
        <f aca="false">G6/F6-1</f>
        <v>0.02</v>
      </c>
      <c r="H21" s="21" t="n">
        <f aca="false">H6/G6-1</f>
        <v>0.02</v>
      </c>
      <c r="I21" s="21" t="n">
        <f aca="false">I6/H6-1</f>
        <v>0.02</v>
      </c>
      <c r="J21" s="21" t="n">
        <f aca="false">J6/I6-1</f>
        <v>0.02</v>
      </c>
    </row>
    <row r="22" customFormat="false" ht="15" hidden="false" customHeight="true" outlineLevel="0" collapsed="false">
      <c r="B22" s="3" t="s">
        <v>182</v>
      </c>
      <c r="C22" s="21" t="n">
        <f aca="false">C7/C6</f>
        <v>0.0217142857142857</v>
      </c>
      <c r="D22" s="21" t="n">
        <f aca="false">D7/D6</f>
        <v>0.0229007633587786</v>
      </c>
      <c r="E22" s="21" t="n">
        <f aca="false">E7/E6</f>
        <v>0.0196515004840271</v>
      </c>
      <c r="F22" s="21" t="n">
        <f aca="false">F7/F6</f>
        <v>0.02</v>
      </c>
      <c r="G22" s="21" t="n">
        <f aca="false">G7/G6</f>
        <v>0.02</v>
      </c>
      <c r="H22" s="21" t="n">
        <f aca="false">H7/H6</f>
        <v>0.02</v>
      </c>
      <c r="I22" s="21" t="n">
        <f aca="false">I7/I6</f>
        <v>0.02</v>
      </c>
      <c r="J22" s="21" t="n">
        <f aca="false">J7/J6</f>
        <v>0.02</v>
      </c>
    </row>
    <row r="23" customFormat="false" ht="15" hidden="false" customHeight="true" outlineLevel="0" collapsed="false">
      <c r="B23" s="3" t="s">
        <v>183</v>
      </c>
      <c r="C23" s="21" t="n">
        <f aca="false">C9/C6</f>
        <v>0.0557142857142857</v>
      </c>
      <c r="D23" s="21" t="n">
        <f aca="false">D9/D6</f>
        <v>0.0569007633587786</v>
      </c>
      <c r="E23" s="21" t="n">
        <f aca="false">E9/E6</f>
        <v>0.0645692158760891</v>
      </c>
      <c r="F23" s="21" t="n">
        <f aca="false">F9/F6</f>
        <v>0.064917715392062</v>
      </c>
      <c r="G23" s="21" t="n">
        <f aca="false">G9/G6</f>
        <v>0.064917715392062</v>
      </c>
      <c r="H23" s="21" t="n">
        <f aca="false">H9/H6</f>
        <v>0.064917715392062</v>
      </c>
      <c r="I23" s="21" t="n">
        <f aca="false">I9/I6</f>
        <v>0.064917715392062</v>
      </c>
      <c r="J23" s="21" t="n">
        <f aca="false">J9/J6</f>
        <v>0.064917715392062</v>
      </c>
    </row>
    <row r="25" customFormat="false" ht="16.5" hidden="false" customHeight="true" outlineLevel="0" collapsed="false">
      <c r="B25" s="5" t="s">
        <v>184</v>
      </c>
      <c r="C25" s="5"/>
      <c r="D25" s="5"/>
      <c r="E25" s="5"/>
      <c r="F25" s="5"/>
      <c r="G25" s="5"/>
      <c r="H25" s="5"/>
      <c r="I25" s="5"/>
      <c r="J25" s="5"/>
    </row>
  </sheetData>
  <mergeCells count="3">
    <mergeCell ref="B2:F2"/>
    <mergeCell ref="B16:J16"/>
    <mergeCell ref="B25:J25"/>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46"/>
    <col collapsed="false" customWidth="true" hidden="false" outlineLevel="0" max="10" min="3" style="1" width="12"/>
  </cols>
  <sheetData>
    <row r="2" customFormat="false" ht="17.25" hidden="false" customHeight="true" outlineLevel="0" collapsed="false">
      <c r="B2" s="9" t="s">
        <v>185</v>
      </c>
      <c r="C2" s="9"/>
      <c r="D2" s="9"/>
      <c r="E2" s="9"/>
      <c r="F2" s="9"/>
    </row>
    <row r="3" customFormat="false" ht="15" hidden="false" customHeight="true" outlineLevel="0" collapsed="false">
      <c r="B3" s="10" t="s">
        <v>186</v>
      </c>
    </row>
    <row r="5" customFormat="false" ht="15" hidden="false" customHeight="true" outlineLevel="0" collapsed="false">
      <c r="C5" s="23" t="s">
        <v>126</v>
      </c>
      <c r="D5" s="23" t="s">
        <v>127</v>
      </c>
      <c r="E5" s="23" t="s">
        <v>128</v>
      </c>
      <c r="F5" s="23" t="s">
        <v>129</v>
      </c>
      <c r="G5" s="23" t="s">
        <v>130</v>
      </c>
      <c r="H5" s="23" t="s">
        <v>131</v>
      </c>
      <c r="I5" s="23" t="s">
        <v>132</v>
      </c>
      <c r="J5" s="23" t="s">
        <v>133</v>
      </c>
    </row>
    <row r="6" customFormat="false" ht="15" hidden="false" customHeight="true" outlineLevel="0" collapsed="false">
      <c r="B6" s="4" t="s">
        <v>187</v>
      </c>
      <c r="C6" s="6"/>
      <c r="D6" s="6"/>
      <c r="E6" s="6"/>
      <c r="F6" s="6"/>
      <c r="G6" s="6"/>
      <c r="H6" s="6"/>
      <c r="I6" s="6"/>
      <c r="J6" s="6"/>
    </row>
    <row r="7" customFormat="false" ht="15" hidden="false" customHeight="true" outlineLevel="0" collapsed="false">
      <c r="B7" s="3" t="s">
        <v>40</v>
      </c>
      <c r="E7" s="12" t="n">
        <f aca="false">Assumptions!$C$6</f>
        <v>1104</v>
      </c>
      <c r="F7" s="12" t="n">
        <f aca="false">E7+'Cash Flow'!F18</f>
        <v>892.7903</v>
      </c>
      <c r="G7" s="12" t="n">
        <f aca="false">F7+'Cash Flow'!G18</f>
        <v>804.119936</v>
      </c>
      <c r="H7" s="12" t="n">
        <f aca="false">G7+'Cash Flow'!H18</f>
        <v>916.80456313875</v>
      </c>
      <c r="I7" s="12" t="n">
        <f aca="false">H7+'Cash Flow'!I18</f>
        <v>1199.37343269315</v>
      </c>
      <c r="J7" s="12" t="n">
        <f aca="false">I7+'Cash Flow'!J18</f>
        <v>1488.58120463864</v>
      </c>
    </row>
    <row r="8" customFormat="false" ht="15" hidden="false" customHeight="true" outlineLevel="0" collapsed="false">
      <c r="B8" s="3" t="s">
        <v>42</v>
      </c>
      <c r="E8" s="12" t="n">
        <f aca="false">'Working Capital Schedule'!E15</f>
        <v>349</v>
      </c>
      <c r="F8" s="12" t="n">
        <f aca="false">'Working Capital Schedule'!F15</f>
        <v>355.98</v>
      </c>
      <c r="G8" s="12" t="n">
        <f aca="false">'Working Capital Schedule'!G15</f>
        <v>363.0996</v>
      </c>
      <c r="H8" s="12" t="n">
        <f aca="false">'Working Capital Schedule'!H15</f>
        <v>370.361592</v>
      </c>
      <c r="I8" s="12" t="n">
        <f aca="false">'Working Capital Schedule'!I15</f>
        <v>377.76882384</v>
      </c>
      <c r="J8" s="12" t="n">
        <f aca="false">'Working Capital Schedule'!J15</f>
        <v>385.3242003168</v>
      </c>
    </row>
    <row r="9" customFormat="false" ht="15" hidden="false" customHeight="true" outlineLevel="0" collapsed="false">
      <c r="B9" s="3" t="s">
        <v>44</v>
      </c>
      <c r="E9" s="12" t="n">
        <f aca="false">'Working Capital Schedule'!E16</f>
        <v>1333</v>
      </c>
      <c r="F9" s="12" t="n">
        <f aca="false">'Working Capital Schedule'!F16</f>
        <v>1359.66</v>
      </c>
      <c r="G9" s="12" t="n">
        <f aca="false">'Working Capital Schedule'!G16</f>
        <v>1386.8532</v>
      </c>
      <c r="H9" s="12" t="n">
        <f aca="false">'Working Capital Schedule'!H16</f>
        <v>1414.590264</v>
      </c>
      <c r="I9" s="12" t="n">
        <f aca="false">'Working Capital Schedule'!I16</f>
        <v>1442.88206928</v>
      </c>
      <c r="J9" s="12" t="n">
        <f aca="false">'Working Capital Schedule'!J16</f>
        <v>1471.7397106656</v>
      </c>
    </row>
    <row r="10" customFormat="false" ht="15" hidden="false" customHeight="true" outlineLevel="0" collapsed="false">
      <c r="B10" s="3" t="s">
        <v>45</v>
      </c>
      <c r="E10" s="12" t="n">
        <f aca="false">'PP&amp;E Schedule'!E10</f>
        <v>3493</v>
      </c>
      <c r="F10" s="12" t="n">
        <f aca="false">'PP&amp;E Schedule'!F10</f>
        <v>3283.135</v>
      </c>
      <c r="G10" s="12" t="n">
        <f aca="false">'PP&amp;E Schedule'!G10</f>
        <v>3069.0727</v>
      </c>
      <c r="H10" s="12" t="n">
        <f aca="false">'PP&amp;E Schedule'!H10</f>
        <v>2850.729154</v>
      </c>
      <c r="I10" s="12" t="n">
        <f aca="false">'PP&amp;E Schedule'!I10</f>
        <v>2628.01873708</v>
      </c>
      <c r="J10" s="12" t="n">
        <f aca="false">'PP&amp;E Schedule'!J10</f>
        <v>2400.8541118216</v>
      </c>
    </row>
    <row r="11" customFormat="false" ht="15" hidden="false" customHeight="true" outlineLevel="0" collapsed="false">
      <c r="B11" s="3" t="s">
        <v>46</v>
      </c>
      <c r="E11" s="12" t="n">
        <f aca="false">Assumptions!$C$10</f>
        <v>2264</v>
      </c>
      <c r="F11" s="12" t="n">
        <f aca="false">E11</f>
        <v>2264</v>
      </c>
      <c r="G11" s="12" t="n">
        <f aca="false">F11</f>
        <v>2264</v>
      </c>
      <c r="H11" s="12" t="n">
        <f aca="false">G11</f>
        <v>2264</v>
      </c>
      <c r="I11" s="12" t="n">
        <f aca="false">H11</f>
        <v>2264</v>
      </c>
      <c r="J11" s="12" t="n">
        <f aca="false">I11</f>
        <v>2264</v>
      </c>
    </row>
    <row r="12" customFormat="false" ht="15" hidden="false" customHeight="true" outlineLevel="0" collapsed="false">
      <c r="B12" s="7" t="s">
        <v>188</v>
      </c>
      <c r="E12" s="24" t="n">
        <f aca="false">SUM(E7:E11)</f>
        <v>8543</v>
      </c>
      <c r="F12" s="24" t="n">
        <f aca="false">SUM(F7:F11)</f>
        <v>8155.5653</v>
      </c>
      <c r="G12" s="24" t="n">
        <f aca="false">SUM(G7:G11)</f>
        <v>7887.145436</v>
      </c>
      <c r="H12" s="24" t="n">
        <f aca="false">SUM(H7:H11)</f>
        <v>7816.48557313875</v>
      </c>
      <c r="I12" s="24" t="n">
        <f aca="false">SUM(I7:I11)</f>
        <v>7912.04306289315</v>
      </c>
      <c r="J12" s="24" t="n">
        <f aca="false">SUM(J7:J11)</f>
        <v>8010.49922744264</v>
      </c>
    </row>
    <row r="14" customFormat="false" ht="15" hidden="false" customHeight="true" outlineLevel="0" collapsed="false">
      <c r="B14" s="4" t="s">
        <v>189</v>
      </c>
      <c r="C14" s="6"/>
      <c r="D14" s="6"/>
      <c r="E14" s="6"/>
      <c r="F14" s="6"/>
      <c r="G14" s="6"/>
      <c r="H14" s="6"/>
      <c r="I14" s="6"/>
      <c r="J14" s="6"/>
    </row>
    <row r="15" customFormat="false" ht="15" hidden="false" customHeight="true" outlineLevel="0" collapsed="false">
      <c r="B15" s="3" t="s">
        <v>47</v>
      </c>
      <c r="E15" s="12" t="n">
        <f aca="false">'Working Capital Schedule'!E17</f>
        <v>1297</v>
      </c>
      <c r="F15" s="12" t="n">
        <f aca="false">'Working Capital Schedule'!F17</f>
        <v>1322.94</v>
      </c>
      <c r="G15" s="12" t="n">
        <f aca="false">'Working Capital Schedule'!G17</f>
        <v>1349.3988</v>
      </c>
      <c r="H15" s="12" t="n">
        <f aca="false">'Working Capital Schedule'!H17</f>
        <v>1376.386776</v>
      </c>
      <c r="I15" s="12" t="n">
        <f aca="false">'Working Capital Schedule'!I17</f>
        <v>1403.91451152</v>
      </c>
      <c r="J15" s="12" t="n">
        <f aca="false">'Working Capital Schedule'!J17</f>
        <v>1431.9928017504</v>
      </c>
    </row>
    <row r="16" customFormat="false" ht="15" hidden="false" customHeight="true" outlineLevel="0" collapsed="false">
      <c r="B16" s="3" t="s">
        <v>48</v>
      </c>
      <c r="E16" s="12" t="n">
        <f aca="false">Assumptions!$C$12</f>
        <v>3135</v>
      </c>
      <c r="F16" s="12" t="n">
        <f aca="false">E16</f>
        <v>3135</v>
      </c>
      <c r="G16" s="12" t="n">
        <f aca="false">F16</f>
        <v>3135</v>
      </c>
      <c r="H16" s="12" t="n">
        <f aca="false">G16</f>
        <v>3135</v>
      </c>
      <c r="I16" s="12" t="n">
        <f aca="false">H16</f>
        <v>3135</v>
      </c>
      <c r="J16" s="12" t="n">
        <f aca="false">I16</f>
        <v>3135</v>
      </c>
    </row>
    <row r="17" customFormat="false" ht="15" hidden="false" customHeight="true" outlineLevel="0" collapsed="false">
      <c r="B17" s="3" t="s">
        <v>190</v>
      </c>
      <c r="E17" s="12" t="n">
        <f aca="false">'Debt Schedule'!E14</f>
        <v>958</v>
      </c>
      <c r="F17" s="12" t="n">
        <f aca="false">'Debt Schedule'!F14</f>
        <v>506</v>
      </c>
      <c r="G17" s="12" t="n">
        <f aca="false">'Debt Schedule'!G14</f>
        <v>159.60485</v>
      </c>
      <c r="H17" s="12" t="n">
        <f aca="false">'Debt Schedule'!H14</f>
        <v>0</v>
      </c>
      <c r="I17" s="12" t="n">
        <f aca="false">'Debt Schedule'!I14</f>
        <v>0</v>
      </c>
      <c r="J17" s="12" t="n">
        <f aca="false">'Debt Schedule'!J14</f>
        <v>0</v>
      </c>
    </row>
    <row r="18" customFormat="false" ht="15" hidden="false" customHeight="true" outlineLevel="0" collapsed="false">
      <c r="B18" s="3" t="s">
        <v>191</v>
      </c>
      <c r="E18" s="12" t="n">
        <f aca="false">Assumptions!$C$14</f>
        <v>1577</v>
      </c>
      <c r="F18" s="12" t="n">
        <f aca="false">E18</f>
        <v>1577</v>
      </c>
      <c r="G18" s="12" t="n">
        <f aca="false">F18</f>
        <v>1577</v>
      </c>
      <c r="H18" s="12" t="n">
        <f aca="false">G18</f>
        <v>1577</v>
      </c>
      <c r="I18" s="12" t="n">
        <f aca="false">H18</f>
        <v>1577</v>
      </c>
      <c r="J18" s="12" t="n">
        <f aca="false">I18</f>
        <v>1577</v>
      </c>
    </row>
    <row r="19" customFormat="false" ht="15" hidden="false" customHeight="true" outlineLevel="0" collapsed="false">
      <c r="B19" s="3" t="s">
        <v>52</v>
      </c>
      <c r="E19" s="12" t="n">
        <f aca="false">Assumptions!$C$15</f>
        <v>1576</v>
      </c>
      <c r="F19" s="12" t="n">
        <f aca="false">E19+'Income Statement'!F15-'Income Statement'!F18</f>
        <v>1614.6253</v>
      </c>
      <c r="G19" s="12" t="n">
        <f aca="false">F19+'Income Statement'!G15-'Income Statement'!G18</f>
        <v>1666.141786</v>
      </c>
      <c r="H19" s="12" t="n">
        <f aca="false">G19+'Income Statement'!H15-'Income Statement'!H18</f>
        <v>1728.09879713875</v>
      </c>
      <c r="I19" s="12" t="n">
        <f aca="false">H19+'Income Statement'!I15-'Income Statement'!I18</f>
        <v>1796.12855137315</v>
      </c>
      <c r="J19" s="12" t="n">
        <f aca="false">I19+'Income Statement'!J15-'Income Statement'!J18</f>
        <v>1866.50642569224</v>
      </c>
    </row>
    <row r="20" customFormat="false" ht="15" hidden="false" customHeight="true" outlineLevel="0" collapsed="false">
      <c r="B20" s="7" t="s">
        <v>192</v>
      </c>
      <c r="E20" s="24" t="n">
        <f aca="false">SUM(E15:E19)</f>
        <v>8543</v>
      </c>
      <c r="F20" s="24" t="n">
        <f aca="false">SUM(F15:F19)</f>
        <v>8155.5653</v>
      </c>
      <c r="G20" s="24" t="n">
        <f aca="false">SUM(G15:G19)</f>
        <v>7887.145436</v>
      </c>
      <c r="H20" s="24" t="n">
        <f aca="false">SUM(H15:H19)</f>
        <v>7816.48557313875</v>
      </c>
      <c r="I20" s="24" t="n">
        <f aca="false">SUM(I15:I19)</f>
        <v>7912.04306289315</v>
      </c>
      <c r="J20" s="24" t="n">
        <f aca="false">SUM(J15:J19)</f>
        <v>8010.49922744264</v>
      </c>
    </row>
    <row r="22" customFormat="false" ht="15" hidden="false" customHeight="true" outlineLevel="0" collapsed="false">
      <c r="B22" s="3" t="s">
        <v>193</v>
      </c>
      <c r="E22" s="12" t="n">
        <f aca="false">E12-E20</f>
        <v>0</v>
      </c>
      <c r="F22" s="12" t="n">
        <f aca="false">F12-F20</f>
        <v>0</v>
      </c>
      <c r="G22" s="12" t="n">
        <f aca="false">G12-G20</f>
        <v>0</v>
      </c>
      <c r="H22" s="12" t="n">
        <f aca="false">H12-H20</f>
        <v>0</v>
      </c>
      <c r="I22" s="12" t="n">
        <f aca="false">I12-I20</f>
        <v>0</v>
      </c>
      <c r="J22" s="12" t="n">
        <f aca="false">J12-J20</f>
        <v>0</v>
      </c>
    </row>
  </sheetData>
  <mergeCells count="1">
    <mergeCell ref="B2:F2"/>
  </mergeCells>
  <conditionalFormatting sqref="E22:J22">
    <cfRule type="expression" priority="2" aboveAverage="0" equalAverage="0" bottom="0" percent="0" rank="0" text="" dxfId="0">
      <formula>ROUND(E22,1)=0</formula>
    </cfRule>
    <cfRule type="expression" priority="3" aboveAverage="0" equalAverage="0" bottom="0" percent="0" rank="0" text="" dxfId="1">
      <formula>ROUND(E22,1)&lt;&gt;0</formula>
    </cfRule>
  </conditionalFormatting>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46"/>
    <col collapsed="false" customWidth="true" hidden="false" outlineLevel="0" max="10" min="3" style="1" width="12"/>
  </cols>
  <sheetData>
    <row r="2" customFormat="false" ht="17.25" hidden="false" customHeight="true" outlineLevel="0" collapsed="false">
      <c r="B2" s="9" t="s">
        <v>194</v>
      </c>
      <c r="C2" s="9"/>
      <c r="D2" s="9"/>
      <c r="E2" s="9"/>
      <c r="F2" s="9"/>
    </row>
    <row r="3" customFormat="false" ht="15" hidden="false" customHeight="true" outlineLevel="0" collapsed="false">
      <c r="B3" s="10" t="s">
        <v>195</v>
      </c>
    </row>
    <row r="5" customFormat="false" ht="15" hidden="false" customHeight="true" outlineLevel="0" collapsed="false">
      <c r="F5" s="23" t="s">
        <v>129</v>
      </c>
      <c r="G5" s="23" t="s">
        <v>130</v>
      </c>
      <c r="H5" s="23" t="s">
        <v>131</v>
      </c>
      <c r="I5" s="23" t="s">
        <v>132</v>
      </c>
      <c r="J5" s="23" t="s">
        <v>133</v>
      </c>
    </row>
    <row r="6" customFormat="false" ht="15" hidden="false" customHeight="true" outlineLevel="0" collapsed="false">
      <c r="B6" s="3" t="s">
        <v>177</v>
      </c>
      <c r="F6" s="12" t="n">
        <f aca="false">'Income Statement'!F15</f>
        <v>55.179</v>
      </c>
      <c r="G6" s="12" t="n">
        <f aca="false">'Income Statement'!G15</f>
        <v>73.59498</v>
      </c>
      <c r="H6" s="12" t="n">
        <f aca="false">'Income Statement'!H15</f>
        <v>88.5100159125</v>
      </c>
      <c r="I6" s="12" t="n">
        <f aca="false">'Income Statement'!I15</f>
        <v>97.185363192</v>
      </c>
      <c r="J6" s="12" t="n">
        <f aca="false">'Income Statement'!J15</f>
        <v>100.53982045584</v>
      </c>
    </row>
    <row r="7" customFormat="false" ht="15" hidden="false" customHeight="true" outlineLevel="0" collapsed="false">
      <c r="B7" s="3" t="s">
        <v>196</v>
      </c>
      <c r="F7" s="12" t="n">
        <f aca="false">'Income Statement'!F8</f>
        <v>473.28</v>
      </c>
      <c r="G7" s="12" t="n">
        <f aca="false">'Income Statement'!G8</f>
        <v>482.7456</v>
      </c>
      <c r="H7" s="12" t="n">
        <f aca="false">'Income Statement'!H8</f>
        <v>492.400512</v>
      </c>
      <c r="I7" s="12" t="n">
        <f aca="false">'Income Statement'!I8</f>
        <v>502.24852224</v>
      </c>
      <c r="J7" s="12" t="n">
        <f aca="false">'Income Statement'!J8</f>
        <v>512.2934926848</v>
      </c>
    </row>
    <row r="8" customFormat="false" ht="15" hidden="false" customHeight="true" outlineLevel="0" collapsed="false">
      <c r="B8" s="3" t="s">
        <v>197</v>
      </c>
      <c r="F8" s="12" t="n">
        <f aca="false">'Working Capital Schedule'!F24</f>
        <v>-7.70000000000005</v>
      </c>
      <c r="G8" s="12" t="n">
        <f aca="false">'Working Capital Schedule'!G24</f>
        <v>-7.85400000000004</v>
      </c>
      <c r="H8" s="12" t="n">
        <f aca="false">'Working Capital Schedule'!H24</f>
        <v>-8.01107999999982</v>
      </c>
      <c r="I8" s="12" t="n">
        <f aca="false">'Working Capital Schedule'!I24</f>
        <v>-8.17130159999999</v>
      </c>
      <c r="J8" s="12" t="n">
        <f aca="false">'Working Capital Schedule'!J24</f>
        <v>-8.33472763200018</v>
      </c>
    </row>
    <row r="9" customFormat="false" ht="15" hidden="false" customHeight="true" outlineLevel="0" collapsed="false">
      <c r="B9" s="7" t="s">
        <v>198</v>
      </c>
      <c r="F9" s="24" t="n">
        <f aca="false">SUM(F6:F8)</f>
        <v>520.759</v>
      </c>
      <c r="G9" s="24" t="n">
        <f aca="false">SUM(G6:G8)</f>
        <v>548.48658</v>
      </c>
      <c r="H9" s="24" t="n">
        <f aca="false">SUM(H6:H8)</f>
        <v>572.8994479125</v>
      </c>
      <c r="I9" s="24" t="n">
        <f aca="false">SUM(I6:I8)</f>
        <v>591.262583832</v>
      </c>
      <c r="J9" s="24" t="n">
        <f aca="false">SUM(J6:J8)</f>
        <v>604.49858550864</v>
      </c>
    </row>
    <row r="11" customFormat="false" ht="15" hidden="false" customHeight="true" outlineLevel="0" collapsed="false">
      <c r="B11" s="3" t="s">
        <v>199</v>
      </c>
      <c r="F11" s="12" t="n">
        <f aca="false">-'PP&amp;E Schedule'!F8</f>
        <v>-263.415</v>
      </c>
      <c r="G11" s="12" t="n">
        <f aca="false">-'PP&amp;E Schedule'!G8</f>
        <v>-268.6833</v>
      </c>
      <c r="H11" s="12" t="n">
        <f aca="false">-'PP&amp;E Schedule'!H8</f>
        <v>-274.056966</v>
      </c>
      <c r="I11" s="12" t="n">
        <f aca="false">-'PP&amp;E Schedule'!I8</f>
        <v>-279.53810532</v>
      </c>
      <c r="J11" s="12" t="n">
        <f aca="false">-'PP&amp;E Schedule'!J8</f>
        <v>-285.1288674264</v>
      </c>
    </row>
    <row r="12" customFormat="false" ht="15" hidden="false" customHeight="true" outlineLevel="0" collapsed="false">
      <c r="B12" s="7" t="s">
        <v>200</v>
      </c>
      <c r="F12" s="24" t="n">
        <f aca="false">F11</f>
        <v>-263.415</v>
      </c>
      <c r="G12" s="24" t="n">
        <f aca="false">G11</f>
        <v>-268.6833</v>
      </c>
      <c r="H12" s="24" t="n">
        <f aca="false">H11</f>
        <v>-274.056966</v>
      </c>
      <c r="I12" s="24" t="n">
        <f aca="false">I11</f>
        <v>-279.53810532</v>
      </c>
      <c r="J12" s="24" t="n">
        <f aca="false">J11</f>
        <v>-285.1288674264</v>
      </c>
    </row>
    <row r="14" customFormat="false" ht="15" hidden="false" customHeight="true" outlineLevel="0" collapsed="false">
      <c r="B14" s="3" t="s">
        <v>201</v>
      </c>
      <c r="F14" s="12" t="n">
        <f aca="false">'Debt Schedule'!F15</f>
        <v>-452</v>
      </c>
      <c r="G14" s="12" t="n">
        <f aca="false">'Debt Schedule'!G15</f>
        <v>-346.39515</v>
      </c>
      <c r="H14" s="12" t="n">
        <f aca="false">'Debt Schedule'!H15</f>
        <v>-159.60485</v>
      </c>
      <c r="I14" s="12" t="n">
        <f aca="false">'Debt Schedule'!I15</f>
        <v>-0</v>
      </c>
      <c r="J14" s="12" t="n">
        <f aca="false">'Debt Schedule'!J15</f>
        <v>-0</v>
      </c>
    </row>
    <row r="15" customFormat="false" ht="15" hidden="false" customHeight="true" outlineLevel="0" collapsed="false">
      <c r="B15" s="3" t="s">
        <v>202</v>
      </c>
      <c r="F15" s="12" t="n">
        <f aca="false">-'Income Statement'!F18</f>
        <v>-16.5537</v>
      </c>
      <c r="G15" s="12" t="n">
        <f aca="false">-'Income Statement'!G18</f>
        <v>-22.078494</v>
      </c>
      <c r="H15" s="12" t="n">
        <f aca="false">-'Income Statement'!H18</f>
        <v>-26.55300477375</v>
      </c>
      <c r="I15" s="12" t="n">
        <f aca="false">-'Income Statement'!I18</f>
        <v>-29.1556089576</v>
      </c>
      <c r="J15" s="12" t="n">
        <f aca="false">-'Income Statement'!J18</f>
        <v>-30.161946136752</v>
      </c>
    </row>
    <row r="16" customFormat="false" ht="15" hidden="false" customHeight="true" outlineLevel="0" collapsed="false">
      <c r="B16" s="7" t="s">
        <v>203</v>
      </c>
      <c r="F16" s="24" t="n">
        <f aca="false">SUM(F14:F15)</f>
        <v>-468.5537</v>
      </c>
      <c r="G16" s="24" t="n">
        <f aca="false">SUM(G14:G15)</f>
        <v>-368.473644</v>
      </c>
      <c r="H16" s="24" t="n">
        <f aca="false">SUM(H14:H15)</f>
        <v>-186.15785477375</v>
      </c>
      <c r="I16" s="24" t="n">
        <f aca="false">SUM(I14:I15)</f>
        <v>-29.1556089576</v>
      </c>
      <c r="J16" s="24" t="n">
        <f aca="false">SUM(J14:J15)</f>
        <v>-30.161946136752</v>
      </c>
    </row>
    <row r="18" customFormat="false" ht="15" hidden="false" customHeight="true" outlineLevel="0" collapsed="false">
      <c r="B18" s="7" t="s">
        <v>204</v>
      </c>
      <c r="F18" s="24" t="n">
        <f aca="false">F9+F12+F16</f>
        <v>-211.2097</v>
      </c>
      <c r="G18" s="24" t="n">
        <f aca="false">G9+G12+G16</f>
        <v>-88.670364</v>
      </c>
      <c r="H18" s="24" t="n">
        <f aca="false">H9+H12+H16</f>
        <v>112.68462713875</v>
      </c>
      <c r="I18" s="24" t="n">
        <f aca="false">I9+I12+I16</f>
        <v>282.5688695544</v>
      </c>
      <c r="J18" s="24" t="n">
        <f aca="false">J9+J12+J16</f>
        <v>289.207771945488</v>
      </c>
    </row>
  </sheetData>
  <mergeCells count="1">
    <mergeCell ref="B2:F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50"/>
    <col collapsed="false" customWidth="true" hidden="false" outlineLevel="0" max="10" min="3" style="1" width="13"/>
  </cols>
  <sheetData>
    <row r="2" customFormat="false" ht="17.25" hidden="false" customHeight="true" outlineLevel="0" collapsed="false">
      <c r="B2" s="9" t="s">
        <v>205</v>
      </c>
      <c r="C2" s="9"/>
      <c r="D2" s="9"/>
      <c r="E2" s="9"/>
      <c r="F2" s="9"/>
    </row>
    <row r="3" customFormat="false" ht="15" hidden="false" customHeight="true" outlineLevel="0" collapsed="false">
      <c r="B3" s="10" t="s">
        <v>206</v>
      </c>
    </row>
    <row r="5" customFormat="false" ht="15" hidden="false" customHeight="true" outlineLevel="0" collapsed="false">
      <c r="F5" s="23" t="s">
        <v>129</v>
      </c>
      <c r="G5" s="23" t="s">
        <v>130</v>
      </c>
      <c r="H5" s="23" t="s">
        <v>131</v>
      </c>
      <c r="I5" s="23" t="s">
        <v>132</v>
      </c>
      <c r="J5" s="23" t="s">
        <v>133</v>
      </c>
    </row>
    <row r="6" customFormat="false" ht="15" hidden="false" customHeight="true" outlineLevel="0" collapsed="false">
      <c r="B6" s="4" t="s">
        <v>207</v>
      </c>
      <c r="C6" s="6"/>
      <c r="D6" s="6"/>
      <c r="E6" s="6"/>
      <c r="F6" s="6"/>
      <c r="G6" s="6"/>
      <c r="H6" s="6"/>
      <c r="I6" s="6"/>
      <c r="J6" s="6"/>
    </row>
    <row r="7" customFormat="false" ht="15" hidden="false" customHeight="true" outlineLevel="0" collapsed="false">
      <c r="B7" s="3" t="s">
        <v>208</v>
      </c>
      <c r="F7" s="12" t="n">
        <f aca="false">'Income Statement'!F7</f>
        <v>210.732</v>
      </c>
      <c r="G7" s="12" t="n">
        <f aca="false">'Income Statement'!G7</f>
        <v>214.94664</v>
      </c>
      <c r="H7" s="12" t="n">
        <f aca="false">'Income Statement'!H7</f>
        <v>219.2455728</v>
      </c>
      <c r="I7" s="12" t="n">
        <f aca="false">'Income Statement'!I7</f>
        <v>223.630484256</v>
      </c>
      <c r="J7" s="12" t="n">
        <f aca="false">'Income Statement'!J7</f>
        <v>228.10309394112</v>
      </c>
    </row>
    <row r="8" customFormat="false" ht="15" hidden="false" customHeight="true" outlineLevel="0" collapsed="false">
      <c r="B8" s="3" t="s">
        <v>209</v>
      </c>
      <c r="F8" s="21" t="n">
        <f aca="false">1-Assumptions!$C$29</f>
        <v>0.75</v>
      </c>
      <c r="G8" s="21" t="n">
        <f aca="false">1-Assumptions!$C$29</f>
        <v>0.75</v>
      </c>
      <c r="H8" s="21" t="n">
        <f aca="false">1-Assumptions!$C$29</f>
        <v>0.75</v>
      </c>
      <c r="I8" s="21" t="n">
        <f aca="false">1-Assumptions!$C$29</f>
        <v>0.75</v>
      </c>
      <c r="J8" s="21" t="n">
        <f aca="false">1-Assumptions!$C$29</f>
        <v>0.75</v>
      </c>
    </row>
    <row r="9" customFormat="false" ht="15" hidden="false" customHeight="true" outlineLevel="0" collapsed="false">
      <c r="B9" s="3" t="s">
        <v>210</v>
      </c>
      <c r="F9" s="12" t="n">
        <f aca="false">F7*F8</f>
        <v>158.049</v>
      </c>
      <c r="G9" s="12" t="n">
        <f aca="false">G7*G8</f>
        <v>161.20998</v>
      </c>
      <c r="H9" s="12" t="n">
        <f aca="false">H7*H8</f>
        <v>164.4341796</v>
      </c>
      <c r="I9" s="12" t="n">
        <f aca="false">I7*I8</f>
        <v>167.722863192</v>
      </c>
      <c r="J9" s="12" t="n">
        <f aca="false">J7*J8</f>
        <v>171.07732045584</v>
      </c>
    </row>
    <row r="10" customFormat="false" ht="15" hidden="false" customHeight="true" outlineLevel="0" collapsed="false">
      <c r="B10" s="3" t="s">
        <v>196</v>
      </c>
      <c r="F10" s="12" t="n">
        <f aca="false">'Income Statement'!F8</f>
        <v>473.28</v>
      </c>
      <c r="G10" s="12" t="n">
        <f aca="false">'Income Statement'!G8</f>
        <v>482.7456</v>
      </c>
      <c r="H10" s="12" t="n">
        <f aca="false">'Income Statement'!H8</f>
        <v>492.400512</v>
      </c>
      <c r="I10" s="12" t="n">
        <f aca="false">'Income Statement'!I8</f>
        <v>502.24852224</v>
      </c>
      <c r="J10" s="12" t="n">
        <f aca="false">'Income Statement'!J8</f>
        <v>512.2934926848</v>
      </c>
    </row>
    <row r="11" customFormat="false" ht="15" hidden="false" customHeight="true" outlineLevel="0" collapsed="false">
      <c r="B11" s="3" t="s">
        <v>199</v>
      </c>
      <c r="F11" s="12" t="n">
        <f aca="false">-'PP&amp;E Schedule'!F8</f>
        <v>-263.415</v>
      </c>
      <c r="G11" s="12" t="n">
        <f aca="false">-'PP&amp;E Schedule'!G8</f>
        <v>-268.6833</v>
      </c>
      <c r="H11" s="12" t="n">
        <f aca="false">-'PP&amp;E Schedule'!H8</f>
        <v>-274.056966</v>
      </c>
      <c r="I11" s="12" t="n">
        <f aca="false">-'PP&amp;E Schedule'!I8</f>
        <v>-279.53810532</v>
      </c>
      <c r="J11" s="12" t="n">
        <f aca="false">-'PP&amp;E Schedule'!J8</f>
        <v>-285.1288674264</v>
      </c>
    </row>
    <row r="12" customFormat="false" ht="15" hidden="false" customHeight="true" outlineLevel="0" collapsed="false">
      <c r="B12" s="3" t="s">
        <v>197</v>
      </c>
      <c r="F12" s="12" t="n">
        <f aca="false">'Working Capital Schedule'!F24</f>
        <v>-7.70000000000005</v>
      </c>
      <c r="G12" s="12" t="n">
        <f aca="false">'Working Capital Schedule'!G24</f>
        <v>-7.85400000000004</v>
      </c>
      <c r="H12" s="12" t="n">
        <f aca="false">'Working Capital Schedule'!H24</f>
        <v>-8.01107999999982</v>
      </c>
      <c r="I12" s="12" t="n">
        <f aca="false">'Working Capital Schedule'!I24</f>
        <v>-8.17130159999999</v>
      </c>
      <c r="J12" s="12" t="n">
        <f aca="false">'Working Capital Schedule'!J24</f>
        <v>-8.33472763200018</v>
      </c>
    </row>
    <row r="13" customFormat="false" ht="15" hidden="false" customHeight="true" outlineLevel="0" collapsed="false">
      <c r="B13" s="7" t="s">
        <v>211</v>
      </c>
      <c r="F13" s="24" t="n">
        <f aca="false">SUM(F9:F12)</f>
        <v>360.214</v>
      </c>
      <c r="G13" s="24" t="n">
        <f aca="false">SUM(G9:G12)</f>
        <v>367.41828</v>
      </c>
      <c r="H13" s="24" t="n">
        <f aca="false">SUM(H9:H12)</f>
        <v>374.7666456</v>
      </c>
      <c r="I13" s="24" t="n">
        <f aca="false">SUM(I9:I12)</f>
        <v>382.261978512</v>
      </c>
      <c r="J13" s="24" t="n">
        <f aca="false">SUM(J9:J12)</f>
        <v>389.90721808224</v>
      </c>
    </row>
    <row r="15" customFormat="false" ht="15" hidden="false" customHeight="true" outlineLevel="0" collapsed="false">
      <c r="B15" s="4" t="s">
        <v>212</v>
      </c>
      <c r="C15" s="6"/>
      <c r="D15" s="6"/>
      <c r="E15" s="6"/>
      <c r="F15" s="6"/>
      <c r="G15" s="6"/>
      <c r="H15" s="6"/>
      <c r="I15" s="6"/>
      <c r="J15" s="6"/>
    </row>
    <row r="16" customFormat="false" ht="15" hidden="false" customHeight="true" outlineLevel="0" collapsed="false">
      <c r="B16" s="3" t="s">
        <v>213</v>
      </c>
      <c r="F16" s="15" t="n">
        <f aca="false">Assumptions!$C$57</f>
        <v>0.0700027651895416</v>
      </c>
      <c r="G16" s="15" t="n">
        <f aca="false">Assumptions!$C$57</f>
        <v>0.0700027651895416</v>
      </c>
      <c r="H16" s="15" t="n">
        <f aca="false">Assumptions!$C$57</f>
        <v>0.0700027651895416</v>
      </c>
      <c r="I16" s="15" t="n">
        <f aca="false">Assumptions!$C$57</f>
        <v>0.0700027651895416</v>
      </c>
      <c r="J16" s="15" t="n">
        <f aca="false">Assumptions!$C$57</f>
        <v>0.0700027651895416</v>
      </c>
    </row>
    <row r="17" customFormat="false" ht="15" hidden="false" customHeight="true" outlineLevel="0" collapsed="false">
      <c r="B17" s="3" t="s">
        <v>214</v>
      </c>
      <c r="F17" s="25" t="n">
        <v>1</v>
      </c>
      <c r="G17" s="25" t="n">
        <v>2</v>
      </c>
      <c r="H17" s="25" t="n">
        <v>3</v>
      </c>
      <c r="I17" s="25" t="n">
        <v>4</v>
      </c>
      <c r="J17" s="25" t="n">
        <v>5</v>
      </c>
    </row>
    <row r="18" customFormat="false" ht="15" hidden="false" customHeight="true" outlineLevel="0" collapsed="false">
      <c r="B18" s="3" t="s">
        <v>215</v>
      </c>
      <c r="F18" s="26" t="n">
        <f aca="false">1/(1+F16)^F17</f>
        <v>0.934577024034941</v>
      </c>
      <c r="G18" s="26" t="n">
        <f aca="false">1/(1+G16)^G17</f>
        <v>0.873434213854007</v>
      </c>
      <c r="H18" s="26" t="n">
        <f aca="false">1/(1+H16)^H17</f>
        <v>0.816291548273977</v>
      </c>
      <c r="I18" s="26" t="n">
        <f aca="false">1/(1+I16)^I17</f>
        <v>0.762887325930768</v>
      </c>
      <c r="J18" s="26" t="n">
        <f aca="false">1/(1+J16)^J17</f>
        <v>0.712976966742351</v>
      </c>
    </row>
    <row r="19" customFormat="false" ht="15" hidden="false" customHeight="true" outlineLevel="0" collapsed="false">
      <c r="B19" s="7" t="s">
        <v>216</v>
      </c>
      <c r="F19" s="13" t="n">
        <f aca="false">F13*F18</f>
        <v>336.647728135722</v>
      </c>
      <c r="G19" s="13" t="n">
        <f aca="false">G13*G18</f>
        <v>320.915696547392</v>
      </c>
      <c r="H19" s="13" t="n">
        <f aca="false">H13*H18</f>
        <v>305.918845378269</v>
      </c>
      <c r="I19" s="13" t="n">
        <f aca="false">I13*I18</f>
        <v>291.622818592024</v>
      </c>
      <c r="J19" s="13" t="n">
        <f aca="false">J13*J18</f>
        <v>277.994865659224</v>
      </c>
    </row>
    <row r="21" customFormat="false" ht="15" hidden="false" customHeight="true" outlineLevel="0" collapsed="false">
      <c r="B21" s="4" t="s">
        <v>217</v>
      </c>
      <c r="C21" s="6"/>
      <c r="D21" s="6"/>
      <c r="E21" s="6"/>
      <c r="F21" s="6"/>
      <c r="G21" s="6"/>
      <c r="H21" s="6"/>
      <c r="I21" s="6"/>
      <c r="J21" s="6"/>
    </row>
    <row r="22" customFormat="false" ht="15" hidden="false" customHeight="true" outlineLevel="0" collapsed="false">
      <c r="B22" s="3" t="s">
        <v>218</v>
      </c>
      <c r="C22" s="12" t="n">
        <f aca="false">J9-('Working Capital Schedule'!$J$18*Assumptions!$C$58)</f>
        <v>164.70125381736</v>
      </c>
    </row>
    <row r="23" customFormat="false" ht="15" hidden="false" customHeight="true" outlineLevel="0" collapsed="false">
      <c r="B23" s="3" t="s">
        <v>219</v>
      </c>
      <c r="C23" s="21" t="n">
        <f aca="false">Assumptions!$C$58</f>
        <v>0.015</v>
      </c>
    </row>
    <row r="24" customFormat="false" ht="15" hidden="false" customHeight="true" outlineLevel="0" collapsed="false">
      <c r="B24" s="3" t="s">
        <v>220</v>
      </c>
      <c r="C24" s="12" t="n">
        <f aca="false">C22*(1+C23)/(J16-C23)</f>
        <v>3039.3339689112</v>
      </c>
    </row>
    <row r="25" customFormat="false" ht="15" hidden="false" customHeight="true" outlineLevel="0" collapsed="false">
      <c r="B25" s="3" t="s">
        <v>221</v>
      </c>
      <c r="C25" s="26" t="n">
        <f aca="false">J18</f>
        <v>0.712976966742351</v>
      </c>
    </row>
    <row r="26" customFormat="false" ht="15" hidden="false" customHeight="true" outlineLevel="0" collapsed="false">
      <c r="B26" s="7" t="s">
        <v>222</v>
      </c>
      <c r="C26" s="13" t="n">
        <f aca="false">C24*C25</f>
        <v>2166.9751140713</v>
      </c>
    </row>
    <row r="28" customFormat="false" ht="15" hidden="false" customHeight="true" outlineLevel="0" collapsed="false">
      <c r="B28" s="4" t="s">
        <v>223</v>
      </c>
      <c r="C28" s="6"/>
      <c r="D28" s="6"/>
      <c r="E28" s="6"/>
      <c r="F28" s="6"/>
      <c r="G28" s="6"/>
      <c r="H28" s="6"/>
      <c r="I28" s="6"/>
      <c r="J28" s="6"/>
    </row>
    <row r="29" customFormat="false" ht="15" hidden="false" customHeight="true" outlineLevel="0" collapsed="false">
      <c r="B29" s="3" t="s">
        <v>224</v>
      </c>
      <c r="C29" s="12" t="n">
        <f aca="false">SUM(F19:J19)</f>
        <v>1533.09995431263</v>
      </c>
    </row>
    <row r="30" customFormat="false" ht="15" hidden="false" customHeight="true" outlineLevel="0" collapsed="false">
      <c r="B30" s="3" t="s">
        <v>225</v>
      </c>
      <c r="C30" s="12" t="n">
        <f aca="false">C26</f>
        <v>2166.9751140713</v>
      </c>
    </row>
    <row r="31" customFormat="false" ht="15" hidden="false" customHeight="true" outlineLevel="0" collapsed="false">
      <c r="B31" s="7" t="s">
        <v>226</v>
      </c>
      <c r="C31" s="24" t="n">
        <f aca="false">C29+C30</f>
        <v>3700.07506838393</v>
      </c>
    </row>
    <row r="32" customFormat="false" ht="15" hidden="false" customHeight="true" outlineLevel="0" collapsed="false">
      <c r="B32" s="3" t="s">
        <v>227</v>
      </c>
      <c r="C32" s="12" t="n">
        <f aca="false">Assumptions!$C$61</f>
        <v>2989</v>
      </c>
    </row>
    <row r="33" customFormat="false" ht="15" hidden="false" customHeight="true" outlineLevel="0" collapsed="false">
      <c r="B33" s="7" t="s">
        <v>228</v>
      </c>
      <c r="C33" s="24" t="n">
        <f aca="false">C31-C32</f>
        <v>711.075068383933</v>
      </c>
    </row>
    <row r="34" customFormat="false" ht="15" hidden="false" customHeight="true" outlineLevel="0" collapsed="false">
      <c r="B34" s="3" t="s">
        <v>229</v>
      </c>
      <c r="C34" s="27" t="n">
        <f aca="false">Assumptions!$C$39</f>
        <v>29.37</v>
      </c>
    </row>
    <row r="35" customFormat="false" ht="15" hidden="false" customHeight="true" outlineLevel="0" collapsed="false">
      <c r="B35" s="7" t="s">
        <v>230</v>
      </c>
      <c r="C35" s="28" t="n">
        <f aca="false">C33/C34</f>
        <v>24.2109318482783</v>
      </c>
    </row>
    <row r="36" customFormat="false" ht="15" hidden="false" customHeight="true" outlineLevel="0" collapsed="false">
      <c r="B36" s="3" t="s">
        <v>231</v>
      </c>
      <c r="C36" s="29" t="n">
        <f aca="false">Assumptions!$C$38</f>
        <v>34.4</v>
      </c>
    </row>
    <row r="37" customFormat="false" ht="15" hidden="false" customHeight="true" outlineLevel="0" collapsed="false">
      <c r="B37" s="3" t="s">
        <v>232</v>
      </c>
      <c r="C37" s="30" t="n">
        <f aca="false">C35/C36-1</f>
        <v>-0.296193841619817</v>
      </c>
    </row>
    <row r="39" customFormat="false" ht="15" hidden="false" customHeight="true" outlineLevel="0" collapsed="false">
      <c r="B39" s="4" t="s">
        <v>233</v>
      </c>
      <c r="C39" s="6"/>
      <c r="D39" s="6"/>
      <c r="E39" s="6"/>
      <c r="F39" s="6"/>
      <c r="G39" s="6"/>
      <c r="H39" s="6"/>
      <c r="I39" s="6"/>
      <c r="J39" s="6"/>
    </row>
    <row r="40" customFormat="false" ht="15" hidden="false" customHeight="true" outlineLevel="0" collapsed="false">
      <c r="B40" s="3" t="s">
        <v>234</v>
      </c>
      <c r="C40" s="12" t="n">
        <f aca="false">Assumptions!$C$44</f>
        <v>667</v>
      </c>
    </row>
    <row r="41" customFormat="false" ht="15" hidden="false" customHeight="true" outlineLevel="0" collapsed="false">
      <c r="B41" s="3" t="s">
        <v>235</v>
      </c>
      <c r="C41" s="20" t="n">
        <f aca="false">C31/C40</f>
        <v>5.54733893310935</v>
      </c>
    </row>
    <row r="42" customFormat="false" ht="15" hidden="false" customHeight="true" outlineLevel="0" collapsed="false">
      <c r="B42" s="3" t="s">
        <v>236</v>
      </c>
      <c r="C42" s="20" t="n">
        <f aca="false">Assumptions!$C$63</f>
        <v>5.9959940029985</v>
      </c>
    </row>
    <row r="44" customFormat="false" ht="16.5" hidden="false" customHeight="true" outlineLevel="0" collapsed="false">
      <c r="B44" s="5" t="s">
        <v>237</v>
      </c>
      <c r="C44" s="5"/>
      <c r="D44" s="5"/>
      <c r="E44" s="5"/>
      <c r="F44" s="5"/>
      <c r="G44" s="5"/>
      <c r="H44" s="5"/>
      <c r="I44" s="5"/>
      <c r="J44" s="5"/>
    </row>
    <row r="46" customFormat="false" ht="27.75" hidden="false" customHeight="true" outlineLevel="0" collapsed="false">
      <c r="B46" s="5" t="s">
        <v>238</v>
      </c>
      <c r="C46" s="5"/>
      <c r="D46" s="5"/>
      <c r="E46" s="5"/>
      <c r="F46" s="5"/>
      <c r="G46" s="5"/>
      <c r="H46" s="5"/>
      <c r="I46" s="5"/>
      <c r="J46" s="5"/>
    </row>
  </sheetData>
  <mergeCells count="3">
    <mergeCell ref="B2:F2"/>
    <mergeCell ref="B44:J44"/>
    <mergeCell ref="B46:J46"/>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46"/>
    <col collapsed="false" customWidth="true" hidden="false" outlineLevel="0" max="10" min="3" style="1" width="13"/>
  </cols>
  <sheetData>
    <row r="2" customFormat="false" ht="17.25" hidden="false" customHeight="true" outlineLevel="0" collapsed="false">
      <c r="B2" s="9" t="s">
        <v>239</v>
      </c>
      <c r="C2" s="9"/>
      <c r="D2" s="9"/>
      <c r="E2" s="9"/>
      <c r="F2" s="9"/>
    </row>
    <row r="3" customFormat="false" ht="15" hidden="false" customHeight="true" outlineLevel="0" collapsed="false">
      <c r="B3" s="10" t="s">
        <v>240</v>
      </c>
    </row>
    <row r="5" customFormat="false" ht="15" hidden="false" customHeight="true" outlineLevel="0" collapsed="false">
      <c r="B5" s="4" t="s">
        <v>241</v>
      </c>
      <c r="C5" s="6"/>
      <c r="D5" s="6"/>
      <c r="E5" s="6"/>
      <c r="F5" s="6"/>
      <c r="G5" s="6"/>
      <c r="H5" s="6"/>
      <c r="I5" s="6"/>
      <c r="J5" s="6"/>
    </row>
    <row r="6" customFormat="false" ht="15" hidden="false" customHeight="true" outlineLevel="0" collapsed="false">
      <c r="B6" s="7" t="s">
        <v>242</v>
      </c>
      <c r="D6" s="31" t="n">
        <f aca="false">Assumptions!$C$58+(-0.01)</f>
        <v>0.005</v>
      </c>
      <c r="E6" s="31" t="n">
        <f aca="false">Assumptions!$C$58+(-0.005)</f>
        <v>0.01</v>
      </c>
      <c r="F6" s="31" t="n">
        <f aca="false">Assumptions!$C$58+(0)</f>
        <v>0.015</v>
      </c>
      <c r="G6" s="31" t="n">
        <f aca="false">Assumptions!$C$58+(0.005)</f>
        <v>0.02</v>
      </c>
      <c r="H6" s="31" t="n">
        <f aca="false">Assumptions!$C$58+(0.01)</f>
        <v>0.025</v>
      </c>
    </row>
    <row r="7" customFormat="false" ht="15" hidden="false" customHeight="true" outlineLevel="0" collapsed="false">
      <c r="B7" s="22" t="n">
        <f aca="false">Assumptions!$C$57+(-0.01)</f>
        <v>0.0600027651895416</v>
      </c>
      <c r="D7" s="29" t="n">
        <f aca="false">(SUMPRODUCT(DCF!$F$13:$J$13,1/(1+$B7)^DCF!$F$17:$J$17)+(DCF!$J$9-'Working Capital Schedule'!$J$18*D$6)*(1+D$6)/($B7-D$6)/(1+$B7)^5-Assumptions!$C$61)/Assumptions!$C$39</f>
        <v>30.4195653378486</v>
      </c>
      <c r="E7" s="29" t="n">
        <f aca="false">(SUMPRODUCT(DCF!$F$13:$J$13,1/(1+$B7)^DCF!$F$17:$J$17)+(DCF!$J$9-'Working Capital Schedule'!$J$18*E$6)*(1+E$6)/($B7-E$6)/(1+$B7)^5-Assumptions!$C$61)/Assumptions!$C$39</f>
        <v>37.6109900494041</v>
      </c>
      <c r="F7" s="29" t="n">
        <f aca="false">(SUMPRODUCT(DCF!$F$13:$J$13,1/(1+$B7)^DCF!$F$17:$J$17)+(DCF!$J$9-'Working Capital Schedule'!$J$18*F$6)*(1+F$6)/($B7-F$6)/(1+$B7)^5-Assumptions!$C$61)/Assumptions!$C$39</f>
        <v>46.3883951254377</v>
      </c>
      <c r="G7" s="29" t="n">
        <f aca="false">(SUMPRODUCT(DCF!$F$13:$J$13,1/(1+$B7)^DCF!$F$17:$J$17)+(DCF!$J$9-'Working Capital Schedule'!$J$18*G$6)*(1+G$6)/($B7-G$6)/(1+$B7)^5-Assumptions!$C$61)/Assumptions!$C$39</f>
        <v>57.3464820910677</v>
      </c>
      <c r="H7" s="29" t="n">
        <f aca="false">(SUMPRODUCT(DCF!$F$13:$J$13,1/(1+$B7)^DCF!$F$17:$J$17)+(DCF!$J$9-'Working Capital Schedule'!$J$18*H$6)*(1+H$6)/($B7-H$6)/(1+$B7)^5-Assumptions!$C$61)/Assumptions!$C$39</f>
        <v>71.419755068092</v>
      </c>
    </row>
    <row r="8" customFormat="false" ht="15" hidden="false" customHeight="true" outlineLevel="0" collapsed="false">
      <c r="B8" s="22" t="n">
        <f aca="false">Assumptions!$C$57+(-0.005)</f>
        <v>0.0650027651895416</v>
      </c>
      <c r="D8" s="29" t="n">
        <f aca="false">(SUMPRODUCT(DCF!$F$13:$J$13,1/(1+$B8)^DCF!$F$17:$J$17)+(DCF!$J$9-'Working Capital Schedule'!$J$18*D$6)*(1+D$6)/($B8-D$6)/(1+$B8)^5-Assumptions!$C$61)/Assumptions!$C$39</f>
        <v>21.4686110726909</v>
      </c>
      <c r="E8" s="29" t="n">
        <f aca="false">(SUMPRODUCT(DCF!$F$13:$J$13,1/(1+$B8)^DCF!$F$17:$J$17)+(DCF!$J$9-'Working Capital Schedule'!$J$18*E$6)*(1+E$6)/($B8-E$6)/(1+$B8)^5-Assumptions!$C$61)/Assumptions!$C$39</f>
        <v>27.2731430344214</v>
      </c>
      <c r="F8" s="29" t="n">
        <f aca="false">(SUMPRODUCT(DCF!$F$13:$J$13,1/(1+$B8)^DCF!$F$17:$J$17)+(DCF!$J$9-'Working Capital Schedule'!$J$18*F$6)*(1+F$6)/($B8-F$6)/(1+$B8)^5-Assumptions!$C$61)/Assumptions!$C$39</f>
        <v>34.2279543678623</v>
      </c>
      <c r="G8" s="29" t="n">
        <f aca="false">(SUMPRODUCT(DCF!$F$13:$J$13,1/(1+$B8)^DCF!$F$17:$J$17)+(DCF!$J$9-'Working Capital Schedule'!$J$18*G$6)*(1+G$6)/($B8-G$6)/(1+$B8)^5-Assumptions!$C$61)/Assumptions!$C$39</f>
        <v>42.7164479706578</v>
      </c>
      <c r="H8" s="29" t="n">
        <f aca="false">(SUMPRODUCT(DCF!$F$13:$J$13,1/(1+$B8)^DCF!$F$17:$J$17)+(DCF!$J$9-'Working Capital Schedule'!$J$18*H$6)*(1+H$6)/($B8-H$6)/(1+$B8)^5-Assumptions!$C$61)/Assumptions!$C$39</f>
        <v>53.3137149379186</v>
      </c>
    </row>
    <row r="9" customFormat="false" ht="15" hidden="false" customHeight="true" outlineLevel="0" collapsed="false">
      <c r="B9" s="22" t="n">
        <f aca="false">Assumptions!$C$57+(0)</f>
        <v>0.0700027651895416</v>
      </c>
      <c r="D9" s="29" t="n">
        <f aca="false">(SUMPRODUCT(DCF!$F$13:$J$13,1/(1+$B9)^DCF!$F$17:$J$17)+(DCF!$J$9-'Working Capital Schedule'!$J$18*D$6)*(1+D$6)/($B9-D$6)/(1+$B9)^5-Assumptions!$C$61)/Assumptions!$C$39</f>
        <v>13.8406542023258</v>
      </c>
      <c r="E9" s="29" t="n">
        <f aca="false">(SUMPRODUCT(DCF!$F$13:$J$13,1/(1+$B9)^DCF!$F$17:$J$17)+(DCF!$J$9-'Working Capital Schedule'!$J$18*E$6)*(1+E$6)/($B9-E$6)/(1+$B9)^5-Assumptions!$C$61)/Assumptions!$C$39</f>
        <v>18.5980173771386</v>
      </c>
      <c r="F9" s="29" t="n">
        <f aca="false">(SUMPRODUCT(DCF!$F$13:$J$13,1/(1+$B9)^DCF!$F$17:$J$17)+(DCF!$J$9-'Working Capital Schedule'!$J$18*F$6)*(1+F$6)/($B9-F$6)/(1+$B9)^5-Assumptions!$C$61)/Assumptions!$C$39</f>
        <v>24.2109318482783</v>
      </c>
      <c r="G9" s="29" t="n">
        <f aca="false">(SUMPRODUCT(DCF!$F$13:$J$13,1/(1+$B9)^DCF!$F$17:$J$17)+(DCF!$J$9-'Working Capital Schedule'!$J$18*G$6)*(1+G$6)/($B9-G$6)/(1+$B9)^5-Assumptions!$C$61)/Assumptions!$C$39</f>
        <v>30.9360488108591</v>
      </c>
      <c r="H9" s="29" t="n">
        <f aca="false">(SUMPRODUCT(DCF!$F$13:$J$13,1/(1+$B9)^DCF!$F$17:$J$17)+(DCF!$J$9-'Working Capital Schedule'!$J$18*H$6)*(1+H$6)/($B9-H$6)/(1+$B9)^5-Assumptions!$C$61)/Assumptions!$C$39</f>
        <v>39.1440796489783</v>
      </c>
    </row>
    <row r="10" customFormat="false" ht="15" hidden="false" customHeight="true" outlineLevel="0" collapsed="false">
      <c r="B10" s="22" t="n">
        <f aca="false">Assumptions!$C$57+(0.005)</f>
        <v>0.0750027651895416</v>
      </c>
      <c r="D10" s="29" t="n">
        <f aca="false">(SUMPRODUCT(DCF!$F$13:$J$13,1/(1+$B10)^DCF!$F$17:$J$17)+(DCF!$J$9-'Working Capital Schedule'!$J$18*D$6)*(1+D$6)/($B10-D$6)/(1+$B10)^5-Assumptions!$C$61)/Assumptions!$C$39</f>
        <v>7.25384038691772</v>
      </c>
      <c r="E10" s="29" t="n">
        <f aca="false">(SUMPRODUCT(DCF!$F$13:$J$13,1/(1+$B10)^DCF!$F$17:$J$17)+(DCF!$J$9-'Working Capital Schedule'!$J$18*E$6)*(1+E$6)/($B10-E$6)/(1+$B10)^5-Assumptions!$C$61)/Assumptions!$C$39</f>
        <v>11.2037276796886</v>
      </c>
      <c r="F10" s="29" t="n">
        <f aca="false">(SUMPRODUCT(DCF!$F$13:$J$13,1/(1+$B10)^DCF!$F$17:$J$17)+(DCF!$J$9-'Working Capital Schedule'!$J$18*F$6)*(1+F$6)/($B10-F$6)/(1+$B10)^5-Assumptions!$C$61)/Assumptions!$C$39</f>
        <v>15.8034986186761</v>
      </c>
      <c r="G10" s="29" t="n">
        <f aca="false">(SUMPRODUCT(DCF!$F$13:$J$13,1/(1+$B10)^DCF!$F$17:$J$17)+(DCF!$J$9-'Working Capital Schedule'!$J$18*G$6)*(1+G$6)/($B10-G$6)/(1+$B10)^5-Assumptions!$C$61)/Assumptions!$C$39</f>
        <v>21.2303852877519</v>
      </c>
      <c r="H10" s="29" t="n">
        <f aca="false">(SUMPRODUCT(DCF!$F$13:$J$13,1/(1+$B10)^DCF!$F$17:$J$17)+(DCF!$J$9-'Working Capital Schedule'!$J$18*H$6)*(1+H$6)/($B10-H$6)/(1+$B10)^5-Assumptions!$C$61)/Assumptions!$C$39</f>
        <v>27.7325086839107</v>
      </c>
    </row>
    <row r="11" customFormat="false" ht="15" hidden="false" customHeight="true" outlineLevel="0" collapsed="false">
      <c r="B11" s="22" t="n">
        <f aca="false">Assumptions!$C$57+(0.01)</f>
        <v>0.0800027651895416</v>
      </c>
      <c r="D11" s="29" t="n">
        <f aca="false">(SUMPRODUCT(DCF!$F$13:$J$13,1/(1+$B11)^DCF!$F$17:$J$17)+(DCF!$J$9-'Working Capital Schedule'!$J$18*D$6)*(1+D$6)/($B11-D$6)/(1+$B11)^5-Assumptions!$C$61)/Assumptions!$C$39</f>
        <v>1.50141738609869</v>
      </c>
      <c r="E11" s="29" t="n">
        <f aca="false">(SUMPRODUCT(DCF!$F$13:$J$13,1/(1+$B11)^DCF!$F$17:$J$17)+(DCF!$J$9-'Working Capital Schedule'!$J$18*E$6)*(1+E$6)/($B11-E$6)/(1+$B11)^5-Assumptions!$C$61)/Assumptions!$C$39</f>
        <v>4.81743267142856</v>
      </c>
      <c r="F11" s="29" t="n">
        <f aca="false">(SUMPRODUCT(DCF!$F$13:$J$13,1/(1+$B11)^DCF!$F$17:$J$17)+(DCF!$J$9-'Working Capital Schedule'!$J$18*F$6)*(1+F$6)/($B11-F$6)/(1+$B11)^5-Assumptions!$C$61)/Assumptions!$C$39</f>
        <v>8.63600590296349</v>
      </c>
      <c r="G11" s="29" t="n">
        <f aca="false">(SUMPRODUCT(DCF!$F$13:$J$13,1/(1+$B11)^DCF!$F$17:$J$17)+(DCF!$J$9-'Working Capital Schedule'!$J$18*G$6)*(1+G$6)/($B11-G$6)/(1+$B11)^5-Assumptions!$C$61)/Assumptions!$C$39</f>
        <v>13.0827707772384</v>
      </c>
      <c r="H11" s="29" t="n">
        <f aca="false">(SUMPRODUCT(DCF!$F$13:$J$13,1/(1+$B11)^DCF!$F$17:$J$17)+(DCF!$J$9-'Working Capital Schedule'!$J$18*H$6)*(1+H$6)/($B11-H$6)/(1+$B11)^5-Assumptions!$C$61)/Assumptions!$C$39</f>
        <v>18.3290436745957</v>
      </c>
    </row>
    <row r="13" customFormat="false" ht="27.75" hidden="false" customHeight="true" outlineLevel="0" collapsed="false">
      <c r="B13" s="5" t="s">
        <v>243</v>
      </c>
      <c r="C13" s="5"/>
      <c r="D13" s="5"/>
      <c r="E13" s="5"/>
      <c r="F13" s="5"/>
      <c r="G13" s="5"/>
      <c r="H13" s="5"/>
      <c r="I13" s="5"/>
      <c r="J13" s="5"/>
    </row>
    <row r="15" customFormat="false" ht="15" hidden="false" customHeight="true" outlineLevel="0" collapsed="false">
      <c r="B15" s="4" t="s">
        <v>244</v>
      </c>
      <c r="C15" s="6"/>
      <c r="D15" s="6"/>
      <c r="E15" s="6"/>
      <c r="F15" s="6"/>
      <c r="G15" s="6"/>
      <c r="H15" s="6"/>
      <c r="I15" s="6"/>
      <c r="J15" s="6"/>
    </row>
    <row r="16" customFormat="false" ht="15" hidden="false" customHeight="true" outlineLevel="0" collapsed="false">
      <c r="B16" s="3" t="s">
        <v>245</v>
      </c>
      <c r="C16" s="15" t="n">
        <f aca="false">Assumptions!$C$57</f>
        <v>0.0700027651895416</v>
      </c>
    </row>
    <row r="17" customFormat="false" ht="15" hidden="false" customHeight="true" outlineLevel="0" collapsed="false">
      <c r="B17" s="3" t="s">
        <v>246</v>
      </c>
      <c r="C17" s="21" t="n">
        <f aca="false">Assumptions!$C$58</f>
        <v>0.015</v>
      </c>
    </row>
    <row r="18" customFormat="false" ht="15" hidden="false" customHeight="true" outlineLevel="0" collapsed="false">
      <c r="B18" s="7" t="s">
        <v>247</v>
      </c>
      <c r="C18" s="28" t="n">
        <f aca="false">DCF!C35</f>
        <v>24.2109318482783</v>
      </c>
    </row>
    <row r="19" customFormat="false" ht="15" hidden="false" customHeight="true" outlineLevel="0" collapsed="false">
      <c r="B19" s="3" t="s">
        <v>248</v>
      </c>
      <c r="C19" s="29" t="n">
        <f aca="false">DCF!C36</f>
        <v>34.4</v>
      </c>
    </row>
  </sheetData>
  <mergeCells count="2">
    <mergeCell ref="B2:F2"/>
    <mergeCell ref="B13:J13"/>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36"/>
    <col collapsed="false" customWidth="true" hidden="false" outlineLevel="0" max="10" min="3" style="1" width="12"/>
  </cols>
  <sheetData>
    <row r="2" customFormat="false" ht="17.25" hidden="false" customHeight="true" outlineLevel="0" collapsed="false">
      <c r="B2" s="9" t="s">
        <v>249</v>
      </c>
      <c r="C2" s="9"/>
      <c r="D2" s="9"/>
      <c r="E2" s="9"/>
      <c r="F2" s="9"/>
    </row>
    <row r="3" customFormat="false" ht="15" hidden="false" customHeight="true" outlineLevel="0" collapsed="false">
      <c r="B3" s="10" t="s">
        <v>2</v>
      </c>
    </row>
    <row r="5" customFormat="false" ht="15" hidden="false" customHeight="true" outlineLevel="0" collapsed="false">
      <c r="C5" s="23" t="s">
        <v>126</v>
      </c>
      <c r="D5" s="23" t="s">
        <v>127</v>
      </c>
      <c r="E5" s="23" t="s">
        <v>128</v>
      </c>
      <c r="F5" s="23" t="s">
        <v>129</v>
      </c>
      <c r="G5" s="23" t="s">
        <v>130</v>
      </c>
      <c r="H5" s="23" t="s">
        <v>131</v>
      </c>
      <c r="I5" s="23" t="s">
        <v>132</v>
      </c>
      <c r="J5" s="23" t="s">
        <v>133</v>
      </c>
    </row>
    <row r="6" customFormat="false" ht="15" hidden="false" customHeight="true" outlineLevel="0" collapsed="false">
      <c r="B6" s="4" t="s">
        <v>250</v>
      </c>
      <c r="C6" s="6"/>
      <c r="D6" s="6"/>
      <c r="E6" s="6"/>
      <c r="F6" s="6"/>
      <c r="G6" s="6"/>
      <c r="H6" s="6"/>
      <c r="I6" s="6"/>
      <c r="J6" s="6"/>
    </row>
    <row r="7" customFormat="false" ht="15" hidden="false" customHeight="true" outlineLevel="0" collapsed="false">
      <c r="B7" s="3" t="s">
        <v>169</v>
      </c>
      <c r="C7" s="12" t="n">
        <f aca="false">'Income Statement'!C6</f>
        <v>7875</v>
      </c>
      <c r="D7" s="12" t="n">
        <f aca="false">'Income Statement'!D6</f>
        <v>8253</v>
      </c>
      <c r="E7" s="12" t="n">
        <f aca="false">'Income Statement'!E6</f>
        <v>10330</v>
      </c>
      <c r="F7" s="12" t="n">
        <f aca="false">'Income Statement'!F6</f>
        <v>10536.6</v>
      </c>
      <c r="G7" s="12" t="n">
        <f aca="false">'Income Statement'!G6</f>
        <v>10747.332</v>
      </c>
      <c r="H7" s="12" t="n">
        <f aca="false">'Income Statement'!H6</f>
        <v>10962.27864</v>
      </c>
      <c r="I7" s="12" t="n">
        <f aca="false">'Income Statement'!I6</f>
        <v>11181.5242128</v>
      </c>
      <c r="J7" s="12" t="n">
        <f aca="false">'Income Statement'!J6</f>
        <v>11405.154697056</v>
      </c>
    </row>
    <row r="8" customFormat="false" ht="15" hidden="false" customHeight="true" outlineLevel="0" collapsed="false">
      <c r="B8" s="3" t="s">
        <v>182</v>
      </c>
      <c r="C8" s="21" t="n">
        <f aca="false">'Income Statement'!C22</f>
        <v>0.0217142857142857</v>
      </c>
      <c r="D8" s="21" t="n">
        <f aca="false">'Income Statement'!D22</f>
        <v>0.0229007633587786</v>
      </c>
      <c r="E8" s="21" t="n">
        <f aca="false">'Income Statement'!E22</f>
        <v>0.0196515004840271</v>
      </c>
      <c r="F8" s="21" t="n">
        <f aca="false">'Income Statement'!F22</f>
        <v>0.02</v>
      </c>
      <c r="G8" s="21" t="n">
        <f aca="false">'Income Statement'!G22</f>
        <v>0.02</v>
      </c>
      <c r="H8" s="21" t="n">
        <f aca="false">'Income Statement'!H22</f>
        <v>0.02</v>
      </c>
      <c r="I8" s="21" t="n">
        <f aca="false">'Income Statement'!I22</f>
        <v>0.02</v>
      </c>
      <c r="J8" s="21" t="n">
        <f aca="false">'Income Statement'!J22</f>
        <v>0.02</v>
      </c>
    </row>
    <row r="9" customFormat="false" ht="15" hidden="false" customHeight="true" outlineLevel="0" collapsed="false">
      <c r="B9" s="3" t="s">
        <v>251</v>
      </c>
      <c r="C9" s="21" t="n">
        <f aca="false">'Income Statement'!C15/'Income Statement'!C6</f>
        <v>0.00634920634920635</v>
      </c>
      <c r="D9" s="21" t="n">
        <f aca="false">'Income Statement'!D15/'Income Statement'!D6</f>
        <v>0.00436205016357688</v>
      </c>
      <c r="E9" s="21" t="n">
        <f aca="false">'Income Statement'!E15/'Income Statement'!E6</f>
        <v>-0.0141335914811229</v>
      </c>
      <c r="F9" s="21" t="n">
        <f aca="false">'Income Statement'!F15/'Income Statement'!F6</f>
        <v>0.005236888559877</v>
      </c>
      <c r="G9" s="21" t="n">
        <f aca="false">'Income Statement'!G15/'Income Statement'!G6</f>
        <v>0.0068477441657148</v>
      </c>
      <c r="H9" s="21" t="n">
        <f aca="false">'Income Statement'!H15/'Income Statement'!H6</f>
        <v>0.00807405274205838</v>
      </c>
      <c r="I9" s="21" t="n">
        <f aca="false">'Income Statement'!I15/'Income Statement'!I6</f>
        <v>0.00869160244546513</v>
      </c>
      <c r="J9" s="21" t="n">
        <f aca="false">'Income Statement'!J15/'Income Statement'!J6</f>
        <v>0.00881529651516189</v>
      </c>
    </row>
    <row r="11" customFormat="false" ht="15" hidden="false" customHeight="true" outlineLevel="0" collapsed="false">
      <c r="B11" s="4" t="s">
        <v>252</v>
      </c>
      <c r="C11" s="6"/>
      <c r="D11" s="6"/>
      <c r="E11" s="6"/>
      <c r="F11" s="6"/>
      <c r="G11" s="6"/>
      <c r="H11" s="6"/>
      <c r="I11" s="6"/>
      <c r="J11" s="6"/>
    </row>
    <row r="12" customFormat="false" ht="15" hidden="false" customHeight="true" outlineLevel="0" collapsed="false">
      <c r="B12" s="3"/>
      <c r="C12" s="23" t="s">
        <v>129</v>
      </c>
      <c r="D12" s="23" t="s">
        <v>130</v>
      </c>
      <c r="E12" s="23" t="s">
        <v>131</v>
      </c>
      <c r="F12" s="23" t="s">
        <v>132</v>
      </c>
      <c r="G12" s="23" t="s">
        <v>133</v>
      </c>
    </row>
    <row r="13" customFormat="false" ht="15" hidden="false" customHeight="true" outlineLevel="0" collapsed="false">
      <c r="B13" s="3" t="s">
        <v>253</v>
      </c>
      <c r="C13" s="12" t="n">
        <f aca="false">'Cash Flow'!F9</f>
        <v>520.759</v>
      </c>
      <c r="D13" s="12" t="n">
        <f aca="false">'Cash Flow'!G9</f>
        <v>548.48658</v>
      </c>
      <c r="E13" s="12" t="n">
        <f aca="false">'Cash Flow'!H9</f>
        <v>572.8994479125</v>
      </c>
      <c r="F13" s="12" t="n">
        <f aca="false">'Cash Flow'!I9</f>
        <v>591.262583832</v>
      </c>
      <c r="G13" s="12" t="n">
        <f aca="false">'Cash Flow'!J9</f>
        <v>604.49858550864</v>
      </c>
    </row>
    <row r="14" customFormat="false" ht="15" hidden="false" customHeight="true" outlineLevel="0" collapsed="false">
      <c r="B14" s="3" t="s">
        <v>254</v>
      </c>
      <c r="C14" s="12" t="n">
        <f aca="false">'Cash Flow'!F12</f>
        <v>-263.415</v>
      </c>
      <c r="D14" s="12" t="n">
        <f aca="false">'Cash Flow'!G12</f>
        <v>-268.6833</v>
      </c>
      <c r="E14" s="12" t="n">
        <f aca="false">'Cash Flow'!H12</f>
        <v>-274.056966</v>
      </c>
      <c r="F14" s="12" t="n">
        <f aca="false">'Cash Flow'!I12</f>
        <v>-279.53810532</v>
      </c>
      <c r="G14" s="12" t="n">
        <f aca="false">'Cash Flow'!J12</f>
        <v>-285.1288674264</v>
      </c>
    </row>
    <row r="15" customFormat="false" ht="15" hidden="false" customHeight="true" outlineLevel="0" collapsed="false">
      <c r="B15" s="3" t="s">
        <v>255</v>
      </c>
      <c r="C15" s="12" t="n">
        <f aca="false">'Cash Flow'!F16</f>
        <v>-468.5537</v>
      </c>
      <c r="D15" s="12" t="n">
        <f aca="false">'Cash Flow'!G16</f>
        <v>-368.473644</v>
      </c>
      <c r="E15" s="12" t="n">
        <f aca="false">'Cash Flow'!H16</f>
        <v>-186.15785477375</v>
      </c>
      <c r="F15" s="12" t="n">
        <f aca="false">'Cash Flow'!I16</f>
        <v>-29.1556089576</v>
      </c>
      <c r="G15" s="12" t="n">
        <f aca="false">'Cash Flow'!J16</f>
        <v>-30.161946136752</v>
      </c>
    </row>
    <row r="16" customFormat="false" ht="15" hidden="false" customHeight="true" outlineLevel="0" collapsed="false">
      <c r="B16" s="3" t="s">
        <v>256</v>
      </c>
      <c r="C16" s="12" t="n">
        <f aca="false">C13+C14+C15</f>
        <v>-211.2097</v>
      </c>
      <c r="D16" s="12" t="n">
        <f aca="false">D13+D14+D15</f>
        <v>-88.670364</v>
      </c>
      <c r="E16" s="12" t="n">
        <f aca="false">E13+E14+E15</f>
        <v>112.68462713875</v>
      </c>
      <c r="F16" s="12" t="n">
        <f aca="false">F13+F14+F15</f>
        <v>282.5688695544</v>
      </c>
      <c r="G16" s="12" t="n">
        <f aca="false">G13+G14+G15</f>
        <v>289.207771945488</v>
      </c>
    </row>
    <row r="18" customFormat="false" ht="15" hidden="false" customHeight="true" outlineLevel="0" collapsed="false">
      <c r="B18" s="4" t="s">
        <v>257</v>
      </c>
      <c r="C18" s="6"/>
      <c r="D18" s="6"/>
      <c r="E18" s="6"/>
      <c r="F18" s="6"/>
      <c r="G18" s="6"/>
      <c r="H18" s="6"/>
      <c r="I18" s="6"/>
      <c r="J18" s="6"/>
    </row>
    <row r="19" customFormat="false" ht="15" hidden="false" customHeight="true" outlineLevel="0" collapsed="false">
      <c r="B19" s="3" t="s">
        <v>258</v>
      </c>
      <c r="C19" s="29" t="n">
        <f aca="false">DCF!C35</f>
        <v>24.2109318482783</v>
      </c>
    </row>
    <row r="20" customFormat="false" ht="15" hidden="false" customHeight="true" outlineLevel="0" collapsed="false">
      <c r="B20" s="3" t="s">
        <v>248</v>
      </c>
      <c r="C20" s="29" t="n">
        <f aca="false">DCF!C36</f>
        <v>34.4</v>
      </c>
    </row>
  </sheetData>
  <mergeCells count="1">
    <mergeCell ref="B2:F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66"/>
    <col collapsed="false" customWidth="true" hidden="false" outlineLevel="0" max="4" min="4" style="1" width="16"/>
  </cols>
  <sheetData>
    <row r="2" customFormat="false" ht="17.25" hidden="false" customHeight="true" outlineLevel="0" collapsed="false">
      <c r="B2" s="9" t="s">
        <v>259</v>
      </c>
      <c r="C2" s="9"/>
      <c r="D2" s="9"/>
      <c r="E2" s="9"/>
      <c r="F2" s="9"/>
    </row>
    <row r="5" customFormat="false" ht="15" hidden="false" customHeight="true" outlineLevel="0" collapsed="false">
      <c r="B5" s="32" t="s">
        <v>260</v>
      </c>
      <c r="D5" s="32" t="s">
        <v>261</v>
      </c>
    </row>
    <row r="6" customFormat="false" ht="15" hidden="false" customHeight="true" outlineLevel="0" collapsed="false">
      <c r="B6" s="3" t="s">
        <v>262</v>
      </c>
      <c r="D6" s="7" t="str">
        <f aca="false">IF(SUMPRODUCT(--(ROUND('Balance Sheet'!E22:J22,1)=0))=6,"OK","A VERIFIER")</f>
        <v>OK</v>
      </c>
    </row>
    <row r="7" customFormat="false" ht="15" hidden="false" customHeight="true" outlineLevel="0" collapsed="false">
      <c r="B7" s="3" t="s">
        <v>263</v>
      </c>
      <c r="D7" s="7" t="str">
        <f aca="false">IF(ROUND(Assumptions!C19,1)=0,"OK","A VERIFIER")</f>
        <v>OK</v>
      </c>
    </row>
    <row r="8" customFormat="false" ht="15" hidden="false" customHeight="true" outlineLevel="0" collapsed="false">
      <c r="B8" s="3" t="s">
        <v>264</v>
      </c>
      <c r="D8" s="7" t="str">
        <f aca="false">IF(MIN('Balance Sheet'!E7:J7)&gt;=0,"OK","A VERIFIER")</f>
        <v>OK</v>
      </c>
    </row>
    <row r="9" customFormat="false" ht="15" hidden="false" customHeight="true" outlineLevel="0" collapsed="false">
      <c r="B9" s="3" t="s">
        <v>265</v>
      </c>
      <c r="D9" s="7" t="str">
        <f aca="false">IF(MIN('Balance Sheet'!E17:J17)&gt;=0,"OK","A VERIFIER")</f>
        <v>OK</v>
      </c>
    </row>
    <row r="10" customFormat="false" ht="15" hidden="false" customHeight="true" outlineLevel="0" collapsed="false">
      <c r="B10" s="3" t="s">
        <v>266</v>
      </c>
      <c r="D10" s="7" t="str">
        <f aca="false">IF(MIN('Balance Sheet'!E19:J19)&gt;0,"OK","A VERIFIER")</f>
        <v>OK</v>
      </c>
    </row>
    <row r="11" customFormat="false" ht="15" hidden="false" customHeight="true" outlineLevel="0" collapsed="false">
      <c r="B11" s="3" t="s">
        <v>267</v>
      </c>
      <c r="D11" s="7" t="str">
        <f aca="false">IF(MIN('PP&amp;E Schedule'!F10:J10)&gt;=0,"OK","A VERIFIER")</f>
        <v>OK</v>
      </c>
    </row>
    <row r="12" customFormat="false" ht="15" hidden="false" customHeight="true" outlineLevel="0" collapsed="false">
      <c r="B12" s="3" t="s">
        <v>268</v>
      </c>
      <c r="D12" s="7" t="str">
        <f aca="false">IF(MIN('Debt Schedule'!F14:J14)&gt;=0,"OK","A VERIFIER")</f>
        <v>OK</v>
      </c>
    </row>
    <row r="13" customFormat="false" ht="15" hidden="false" customHeight="true" outlineLevel="0" collapsed="false">
      <c r="B13" s="3" t="s">
        <v>269</v>
      </c>
      <c r="D13" s="7" t="str">
        <f aca="false">IF(SUMPRODUCT(--(('Debt Schedule'!F13:J13)&gt;=-('Debt Schedule'!F8:J8+'Debt Schedule'!F9:J9)-0.01))=5,"OK","A VERIFIER")</f>
        <v>OK</v>
      </c>
    </row>
    <row r="14" customFormat="false" ht="15" hidden="false" customHeight="true" outlineLevel="0" collapsed="false">
      <c r="B14" s="3" t="s">
        <v>270</v>
      </c>
      <c r="D14" s="7" t="str">
        <f aca="false">IF(Assumptions!C57&gt;Assumptions!C58,"OK","A VERIFIER")</f>
        <v>OK</v>
      </c>
    </row>
    <row r="15" customFormat="false" ht="15" hidden="false" customHeight="true" outlineLevel="0" collapsed="false">
      <c r="B15" s="3" t="s">
        <v>271</v>
      </c>
      <c r="D15" s="7" t="str">
        <f aca="false">IF(DCF!C31&gt;0,"OK","A VERIFIER")</f>
        <v>OK</v>
      </c>
    </row>
    <row r="16" customFormat="false" ht="15" hidden="false" customHeight="true" outlineLevel="0" collapsed="false">
      <c r="B16" s="3" t="s">
        <v>272</v>
      </c>
      <c r="D16" s="7" t="str">
        <f aca="false">IF(ROUND(Sensitivity!F9,2)=ROUND(DCF!C35,2),"OK","A VERIFIER")</f>
        <v>OK</v>
      </c>
    </row>
    <row r="17" customFormat="false" ht="15" hidden="false" customHeight="true" outlineLevel="0" collapsed="false">
      <c r="B17" s="3" t="s">
        <v>273</v>
      </c>
      <c r="D17" s="7" t="str">
        <f aca="false">IF(SUMPRODUCT(--(ROUND('Balance Sheet'!F8:J8-'Working Capital Schedule'!F15:J15,1)=0))=5,"OK","A VERIFIER")</f>
        <v>OK</v>
      </c>
    </row>
    <row r="19" customFormat="false" ht="15" hidden="false" customHeight="true" outlineLevel="0" collapsed="false">
      <c r="B19" s="7" t="s">
        <v>274</v>
      </c>
      <c r="C19" s="7" t="str">
        <f aca="false">IF(COUNTIF(D6:D17,"OK")=12,"Tous les contrôles sont OK","Au moins un contrôle à vérifier")</f>
        <v>Tous les contrôles sont OK</v>
      </c>
    </row>
  </sheetData>
  <mergeCells count="1">
    <mergeCell ref="B2:F2"/>
  </mergeCells>
  <conditionalFormatting sqref="D6:D17">
    <cfRule type="expression" priority="2" aboveAverage="0" equalAverage="0" bottom="0" percent="0" rank="0" text="" dxfId="0">
      <formula>D6="OK"</formula>
    </cfRule>
    <cfRule type="expression" priority="3" aboveAverage="0" equalAverage="0" bottom="0" percent="0" rank="0" text="" dxfId="1">
      <formula>D6&lt;&gt;"OK"</formula>
    </cfRule>
  </conditionalFormatting>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2026-10-12T16:52:10Z</dcterms:created>
  <dc:creator>openpyxl</dc:creator>
  <dc:description/>
  <dc:language>en-US</dc:language>
  <cp:lastModifiedBy/>
  <dcterms:modified xsi:type="dcterms:W3CDTF">2026-10-13T20:33:03Z</dcterms:modified>
  <cp:revision>34</cp:revision>
  <dc:subject/>
  <dc:title/>
</cp:coreProperties>
</file>

<file path=docProps/custom.xml><?xml version="1.0" encoding="utf-8"?>
<Properties xmlns="http://schemas.openxmlformats.org/officeDocument/2006/custom-properties" xmlns:vt="http://schemas.openxmlformats.org/officeDocument/2006/docPropsVTypes"/>
</file>